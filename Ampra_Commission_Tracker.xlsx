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ipeline" sheetId="2" state="visible" r:id="rId4"/>
    <sheet name="Retainer Log" sheetId="3" state="visible" r:id="rId5"/>
    <sheet name="Historic Deals Log" sheetId="4" state="visible" r:id="rId6"/>
    <sheet name="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<sst xmlns="http://schemas.openxmlformats.org/spreadsheetml/2006/main" count="858" uniqueCount="440">
  <si>
    <t xml:space="preserve">Ampra Commission Tracker — Team Position</t>
  </si>
  <si>
    <t xml:space="preserve">Positions from 20/07/26 onward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</si>
  <si>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</si>
  <si>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</si>
  <si>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</si>
  <si>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</si>
  <si>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</si>
  <si>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</si>
  <si>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</si>
  <si>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</si>
  <si>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</si>
  <si>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</si>
  <si>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</si>
  <si>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</si>
  <si>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</si>
  <si>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Joe</t>
  </si>
  <si>
    <t xml:space="preserve">Holly</t>
  </si>
  <si>
    <t xml:space="preserve">Contractor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</si>
  <si>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</si>
  <si>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</si>
  <si>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</si>
  <si>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</si>
  <si>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</si>
  <si>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</si>
  <si>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</si>
  <si>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</si>
  <si>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</si>
  <si>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</si>
  <si>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</si>
  <si>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</si>
  <si>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</si>
  <si>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</si>
  <si>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</si>
  <si>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</si>
  <si>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</si>
  <si>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</si>
  <si>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</si>
  <si>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</si>
  <si>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</si>
  <si>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</si>
  <si>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</si>
  <si>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</si>
  <si>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</si>
  <si>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</si>
  <si>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</si>
  <si>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</si>
  <si>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</si>
  <si>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</si>
  <si>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</si>
  <si>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</si>
  <si>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</si>
  <si>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</si>
  <si>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</si>
  <si>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</si>
  <si>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</si>
  <si>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</si>
  <si>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</si>
  <si>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</si>
  <si>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</si>
  <si>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</si>
  <si>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</si>
  <si>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</si>
  <si>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</si>
  <si>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</si>
  <si>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</si>
  <si>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</si>
  <si>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</si>
  <si>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</si>
  <si>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</si>
  <si>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</si>
  <si>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</si>
  <si>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</si>
  <si>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</si>
  <si>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</si>
  <si>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</si>
  <si>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</si>
  <si>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</si>
  <si>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</si>
  <si>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</si>
  <si>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</si>
  <si>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</si>
  <si>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</si>
  <si>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</si>
  <si>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</si>
  <si>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</si>
  <si>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</si>
  <si>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</si>
  <si>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</si>
  <si>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</si>
  <si>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</si>
  <si>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</si>
  <si>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</si>
  <si>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</si>
  <si>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</si>
  <si>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</si>
  <si>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</si>
  <si>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</si>
  <si>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</si>
  <si>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</si>
  <si>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</si>
  <si>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</si>
  <si>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</si>
  <si>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</si>
  <si>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</si>
  <si>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</si>
  <si>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</si>
  <si>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</si>
  <si>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</si>
  <si>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</si>
  <si>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</si>
  <si>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</si>
  <si>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</si>
  <si>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</si>
  <si>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</si>
  <si>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</si>
  <si>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</si>
  <si>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</si>
  <si>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</si>
  <si>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</si>
  <si>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</si>
  <si>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</si>
  <si>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</si>
  <si>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</si>
  <si>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</si>
  <si>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</si>
  <si>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</si>
  <si>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</si>
  <si>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</si>
  <si>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</si>
  <si>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</si>
  <si>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</si>
  <si>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</si>
  <si>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</si>
  <si>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</si>
  <si>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</si>
  <si>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</si>
  <si>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</si>
  <si>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</si>
  <si>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</si>
  <si>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</si>
  <si>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</si>
  <si>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</si>
  <si>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</si>
  <si>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</si>
  <si>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</si>
  <si>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</si>
  <si>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</si>
  <si>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</si>
  <si>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</si>
  <si>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spans 20/07/26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</si>
  <si>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</si>
  <si>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</si>
  <si>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</si>
  <si>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</si>
  <si>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</si>
  <si>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</si>
  <si>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</si>
  <si>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</si>
  <si>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</si>
  <si>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</si>
  <si>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</si>
  <si>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</si>
  <si>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</si>
  <si>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</si>
  <si>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spans 20/07/26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</si>
  <si>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</si>
  <si>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</si>
  <si>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</si>
  <si>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</si>
  <si>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76 deals · reference only, not counted in current positions · pull 25/08/26</t>
  </si>
  <si>
    <t xml:space="preserve">Estimate up to 20/07/26. Figures before that date are reconstructed from HubSpot and contain known inconsistencies — 3 rows flagged below have no install date, no deal value, or no attribution recorded. Commission shown is earned/owed on install, not cash paid. Treat these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</si>
  <si>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</si>
  <si>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</si>
  <si>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</si>
  <si>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</si>
  <si>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</si>
  <si>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07/08/26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</si>
  <si>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</si>
  <si>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</si>
  <si>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</si>
  <si>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</si>
  <si>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240526.JS01</t>
  </si>
  <si>
    <t xml:space="preserve">Connie Minos - 1349 Bonshaw Road Ashford NSW 2361</t>
  </si>
  <si>
    <t xml:space="preserve">24/07/26</t>
  </si>
  <si>
    <t xml:space="preserve">Rosa; Dermot; Hugo; Max Bradfield; Denzel Winterbeard; Cian Jefferson; Fran; Hannah; Joe</t>
  </si>
  <si>
    <t xml:space="preserve">Joe; Denzel Winterbeard; Cian Jefferson; Max Bradfield; Hugo; Rosa; Dermot; Fran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</si>
  <si>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</si>
  <si>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</si>
  <si>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</si>
  <si>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</si>
  <si>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</si>
  <si>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</si>
  <si>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</si>
  <si>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</si>
  <si>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</si>
  <si>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</si>
  <si>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</si>
  <si>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</si>
  <si>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</si>
  <si>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</si>
  <si>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Fran; Denzel Winterbeard; Cian Jefferson; Max Bradfield; Hugo; Dermot;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</si>
  <si>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</si>
  <si>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</si>
  <si>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</si>
  <si>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</si>
  <si>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</si>
  <si>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</si>
  <si>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</si>
  <si>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</si>
  <si>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</si>
  <si>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</si>
  <si>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</si>
  <si>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</si>
  <si>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</si>
  <si>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</si>
  <si>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</si>
  <si>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</si>
  <si>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</si>
  <si>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</si>
  <si>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</si>
  <si>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</si>
  <si>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</si>
  <si>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</si>
  <si>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</si>
  <si>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</si>
  <si>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</si>
  <si>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</si>
  <si>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</si>
  <si>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</si>
  <si>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</si>
  <si>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</si>
  <si>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</si>
  <si>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</si>
  <si>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</si>
  <si>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</si>
  <si>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</si>
  <si>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</si>
  <si>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</si>
  <si>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</si>
  <si>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</si>
  <si>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</si>
  <si>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</si>
  <si>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</si>
  <si>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</si>
  <si>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</si>
  <si>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</si>
  <si>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</si>
  <si>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</si>
  <si>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</si>
  <si>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</si>
  <si>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</si>
  <si>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</si>
  <si>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</si>
  <si>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</si>
  <si>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</si>
  <si>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</si>
  <si>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</si>
  <si>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</si>
  <si>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</si>
  <si>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</si>
  <si>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</si>
  <si>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</si>
  <si>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</si>
  <si>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</si>
  <si>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</si>
  <si>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</si>
  <si>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</si>
  <si>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</si>
  <si>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</si>
  <si>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</si>
  <si>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</si>
  <si>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</si>
  <si>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</si>
  <si>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</si>
  <si>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</si>
  <si>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</si>
  <si>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</si>
  <si>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</si>
  <si>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</si>
  <si>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</si>
  <si>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</si>
  <si>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</si>
  <si>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</si>
  <si>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</si>
  <si>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</si>
  <si>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</si>
  <si>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</si>
  <si>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</si>
  <si>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</si>
  <si>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</si>
  <si>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</si>
  <si>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</si>
  <si>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</si>
  <si>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</si>
  <si>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</si>
  <si>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</si>
  <si>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</si>
  <si>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</si>
  <si>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</si>
  <si>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</si>
  <si>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</si>
  <si>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</si>
  <si>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</si>
  <si>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</si>
  <si>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</si>
  <si>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</si>
  <si>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</si>
  <si>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</si>
  <si>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</si>
  <si>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</si>
  <si>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</si>
  <si>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</si>
  <si>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</si>
  <si>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</si>
  <si>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</si>
  <si>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</si>
  <si>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</si>
  <si>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</si>
  <si>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</si>
  <si>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</si>
  <si>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</si>
  <si>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</si>
  <si>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</si>
  <si>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</si>
  <si>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</si>
  <si>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</si>
  <si>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</si>
  <si>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</si>
  <si>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</si>
  <si>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</si>
  <si>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</si>
  <si>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</si>
  <si>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</si>
  <si>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</si>
  <si>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</si>
  <si>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</si>
  <si>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</si>
  <si>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</si>
  <si>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</si>
  <si>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</si>
  <si>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</si>
  <si>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</si>
  <si>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</si>
  <si>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</si>
  <si>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</si>
  <si>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</si>
  <si>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</si>
  <si>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</si>
  <si>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</si>
  <si>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</si>
  <si>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</si>
  <si>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</si>
  <si>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</si>
  <si>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</si>
  <si>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</si>
  <si>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</si>
  <si>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</si>
  <si>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</si>
  <si>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</si>
  <si>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</si>
  <si>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</si>
  <si>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</si>
  <si>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</si>
  <si>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</si>
  <si>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</si>
  <si>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</si>
  <si>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</si>
  <si>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</si>
  <si>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</si>
  <si>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</si>
  <si>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</si>
  <si>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</si>
  <si>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</si>
  <si>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</si>
  <si>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</si>
  <si>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</si>
  <si>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</si>
  <si>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</si>
  <si>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</si>
  <si>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</si>
  <si>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</si>
  <si>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</si>
  <si>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</si>
  <si>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</si>
  <si>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</si>
  <si>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</si>
  <si>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</si>
  <si>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</si>
  <si>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</si>
  <si>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</si>
  <si>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</si>
  <si>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</si>
  <si>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</si>
  <si>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</si>
  <si>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</si>
  <si>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</si>
  <si>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</si>
  <si>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</si>
  <si>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</si>
  <si>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</si>
  <si>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</si>
  <si>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</si>
  <si>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</si>
  <si>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</si>
  <si>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</si>
  <si>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</si>
  <si>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</si>
  <si>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</si>
  <si>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</si>
  <si>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</si>
  <si>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</si>
  <si>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</si>
  <si>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</si>
  <si>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</si>
  <si>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</si>
  <si>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</si>
  <si>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</si>
  <si>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Ampra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</si>
  <si>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</si>
  <si>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</si>
  <si>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Baseline</t>
  </si>
  <si>
    <t xml:space="preserve">Everyone's position was struck at 20/07/26 and has run continuously since.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</si>
  <si>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</si>
  <si>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</si>
  <si>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</si>
  <si>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</si>
  <si>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</si>
  <si>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</si>
  <si>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</si>
  <si>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</si>
  <si>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</si>
  <si>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</si>
  <si>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</si>
  <si>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</si>
  <si>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</si>
  <si>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</si>
  <si>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</si>
  <si>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</si>
  <si>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an install date before 20/07/26: included in pending ($2,382.69 to Joe). Two Meta receipts span 20/07/26: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</si>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</sst>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1513"/>
      <name val="Arial"/>
      <family val="0"/>
      <charset val="1"/>
    </font>
    <font>
      <i val="true"/>
      <sz val="9"/>
      <color rgb="FF7A545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F5B7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A5A00"/>
      <name val="Arial"/>
      <family val="0"/>
      <charset val="1"/>
    </font>
    <font>
      <sz val="10"/>
      <color rgb="FF4A1513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3ECD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3ECD8"/>
      </left>
      <right style="thin">
        <color rgb="FFF3ECD8"/>
      </right>
      <top style="thin">
        <color rgb="FFF3ECD8"/>
      </top>
      <bottom style="thin">
        <color rgb="FFF3E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66B42"/>
        <sz val="10"/>
      </font>
    </dxf>
    <dxf>
      <font>
        <name val="Arial"/>
        <charset val="1"/>
        <family val="0"/>
        <b val="1"/>
        <color rgb="FFA8172B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66B42"/>
      <rgbColor rgb="FFC0C0C0"/>
      <rgbColor rgb="FF808080"/>
      <rgbColor rgb="FF9999FF"/>
      <rgbColor rgb="FFA8172B"/>
      <rgbColor rgb="FFF3ECD8"/>
      <rgbColor rgb="FFCCFFFF"/>
      <rgbColor rgb="FF660066"/>
      <rgbColor rgb="FFFF8080"/>
      <rgbColor rgb="FF1F5B7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700"/>
      <rgbColor rgb="FFFF9900"/>
      <rgbColor rgb="FFFF6600"/>
      <rgbColor rgb="FF7A5450"/>
      <rgbColor rgb="FF969696"/>
      <rgbColor rgb="FF003366"/>
      <rgbColor rgb="FF339966"/>
      <rgbColor rgb="FF003300"/>
      <rgbColor rgb="FF4A1513"/>
      <rgbColor rgb="FFB827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513"/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IF(F5&gt;=0,"AMPRA OWES","TO EARN BACK")</f>
        <v>TO EARN BACK</v>
      </c>
      <c r="H5" s="5" t="n">
        <v>8664.3</v>
      </c>
      <c r="I5" s="6" t="n">
        <f aca="false">C5+E5+H5-D5</f>
        <v>2293.97</v>
      </c>
      <c r="J5" s="4" t="str">
        <f aca="false">IF(I5&gt;=0,"AMPRA OWES","TO EARN BACK")</f>
        <v>AMPRA OWES</v>
      </c>
    </row>
    <row r="6" customFormat="false" ht="15" hidden="false" customHeight="false" outlineLevel="0" collapsed="false">
      <c r="A6" s="4" t="s">
        <v>14</v>
      </c>
      <c r="B6" s="4" t="s">
        <v>13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IF(F6&gt;=0,"AMPRA OWES","TO EARN BACK")</f>
        <v>TO EARN BACK</v>
      </c>
      <c r="H6" s="5" t="n">
        <v>3271.52</v>
      </c>
      <c r="I6" s="6" t="n">
        <f aca="false">C6+E6+H6-D6</f>
        <v>-824.3</v>
      </c>
      <c r="J6" s="4" t="str">
        <f aca="false">IF(I6&gt;=0,"AMPRA OWES","TO EARN BACK")</f>
        <v>TO EARN BACK</v>
      </c>
    </row>
    <row r="7" customFormat="false" ht="15" hidden="false" customHeight="false" outlineLevel="0" collapsed="false">
      <c r="A7" s="4" t="s">
        <v>15</v>
      </c>
      <c r="B7" s="4" t="s">
        <v>13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IF(F7&gt;=0,"AMPRA OWES","TO EARN BACK")</f>
        <v>AMPRA OWES</v>
      </c>
      <c r="H7" s="5" t="n">
        <v>11804.4</v>
      </c>
      <c r="I7" s="6" t="n">
        <f aca="false">C7+E7+H7-D7</f>
        <v>12490.53</v>
      </c>
      <c r="J7" s="4" t="str">
        <f aca="false">IF(I7&gt;=0,"AMPRA OWES","TO EARN BACK")</f>
        <v>AMPRA OWES</v>
      </c>
    </row>
    <row r="8" customFormat="false" ht="15" hidden="false" customHeight="false" outlineLevel="0" collapsed="false">
      <c r="A8" s="4" t="s">
        <v>16</v>
      </c>
      <c r="B8" s="4" t="s">
        <v>17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IF(F8&gt;=0,"AMPRA OWES","TO EARN BACK")</f>
        <v>TO EARN BACK</v>
      </c>
      <c r="H8" s="5" t="n">
        <v>2339.64</v>
      </c>
      <c r="I8" s="6" t="n">
        <f aca="false">C8+E8+H8-D8</f>
        <v>-960.37</v>
      </c>
      <c r="J8" s="4" t="str">
        <f aca="false">IF(I8&gt;=0,"AMPRA OWES","TO EARN BACK")</f>
        <v>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IF(F9&gt;=0,"AMPRA OWES","TO EARN BACK")</f>
        <v>AMPRA OWES</v>
      </c>
      <c r="H9" s="5" t="n">
        <v>615.7</v>
      </c>
      <c r="I9" s="6" t="n">
        <f aca="false">C9+E9+H9-D9</f>
        <v>615.7</v>
      </c>
      <c r="J9" s="4" t="str">
        <f aca="false">IF(I9&gt;=0,"AMPRA OWES","TO EARN BACK")</f>
        <v>AMPRA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IF(F10&gt;=0,"AMPRA OWES","TO EARN BACK")</f>
        <v>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IF(I10&gt;=0,"AMPRA OWES","TO EARN BACK")</f>
        <v>AMPRA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conditionalFormatting sqref="G5:G10">
    <cfRule type="expression" priority="2" aboveAverage="0" equalAverage="0" bottom="0" percent="0" rank="0" text="" dxfId="0">
      <formula>$F5&gt;=0</formula>
    </cfRule>
    <cfRule type="expression" priority="3" aboveAverage="0" equalAverage="0" bottom="0" percent="0" rank="0" text="" dxfId="1">
      <formula>$F5&lt;0</formula>
    </cfRule>
  </conditionalFormatting>
  <conditionalFormatting sqref="J5:J10">
    <cfRule type="expression" priority="4" aboveAverage="0" equalAverage="0" bottom="0" percent="0" rank="0" text="" dxfId="0">
      <formula>$I5&gt;=0</formula>
    </cfRule>
    <cfRule type="expression" priority="5" aboveAverage="0" equalAverage="0" bottom="0" percent="0" rank="0" text="" dxfId="1">
      <formula>$I5&lt;0</formula>
    </cfRule>
  </conditionalFormatting>
  <conditionalFormatting sqref="F5:F10">
    <cfRule type="expression" priority="6" aboveAverage="0" equalAverage="0" bottom="0" percent="0" rank="0" text="" dxfId="0">
      <formula>$F5&gt;=0</formula>
    </cfRule>
    <cfRule type="expression" priority="7" aboveAverage="0" equalAverage="0" bottom="0" percent="0" rank="0" text="" dxfId="1">
      <formula>$F5&lt;0</formula>
    </cfRule>
  </conditionalFormatting>
  <conditionalFormatting sqref="I5:I10">
    <cfRule type="expression" priority="8" aboveAverage="0" equalAverage="0" bottom="0" percent="0" rank="0" text="" dxfId="0">
      <formula>$I5&gt;=0</formula>
    </cfRule>
    <cfRule type="expression" priority="9" aboveAverage="0" equalAverage="0" bottom="0" percent="0" rank="0" text="" dxfId="1">
      <formula>$I5&lt;0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2718"/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15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15</v>
      </c>
      <c r="E9" s="4" t="s">
        <v>15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15</v>
      </c>
      <c r="E10" s="4" t="s">
        <v>15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15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16</v>
      </c>
      <c r="E12" s="4" t="s">
        <v>15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15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15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15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700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16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16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16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16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16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16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16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16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16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16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16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16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16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16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16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16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16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16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16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16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16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450"/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20</v>
      </c>
      <c r="E6" s="4" t="s">
        <v>12</v>
      </c>
      <c r="F6" s="4" t="s">
        <v>38</v>
      </c>
      <c r="G6" s="6" t="n">
        <v>14988</v>
      </c>
      <c r="H6" s="6" t="n">
        <v>681.27</v>
      </c>
      <c r="I6" s="4"/>
    </row>
    <row r="7" customFormat="false" ht="15" hidden="false" customHeight="false" outlineLevel="0" collapsed="false">
      <c r="A7" s="11" t="s">
        <v>177</v>
      </c>
      <c r="B7" s="4" t="s">
        <v>178</v>
      </c>
      <c r="C7" s="4" t="s">
        <v>179</v>
      </c>
      <c r="D7" s="4" t="s">
        <v>180</v>
      </c>
      <c r="E7" s="4" t="s">
        <v>180</v>
      </c>
      <c r="F7" s="4" t="s">
        <v>70</v>
      </c>
      <c r="G7" s="6" t="n">
        <v>35355</v>
      </c>
      <c r="H7" s="6" t="n">
        <v>3214.09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184</v>
      </c>
      <c r="E8" s="4" t="s">
        <v>185</v>
      </c>
      <c r="F8" s="4" t="s">
        <v>70</v>
      </c>
      <c r="G8" s="6" t="n">
        <v>67927</v>
      </c>
      <c r="H8" s="6" t="n">
        <v>6175.18</v>
      </c>
      <c r="I8" s="4"/>
    </row>
    <row r="9" customFormat="false" ht="15" hidden="false" customHeight="false" outlineLevel="0" collapsed="false">
      <c r="A9" s="11" t="s">
        <v>186</v>
      </c>
      <c r="B9" s="4" t="s">
        <v>187</v>
      </c>
      <c r="C9" s="4" t="s">
        <v>183</v>
      </c>
      <c r="D9" s="4" t="s">
        <v>16</v>
      </c>
      <c r="E9" s="4" t="s">
        <v>14</v>
      </c>
      <c r="F9" s="4" t="s">
        <v>38</v>
      </c>
      <c r="G9" s="6" t="n">
        <v>19737</v>
      </c>
      <c r="H9" s="6" t="n">
        <v>1404.37</v>
      </c>
      <c r="I9" s="4"/>
    </row>
    <row r="10" customFormat="false" ht="15" hidden="false" customHeight="false" outlineLevel="0" collapsed="false">
      <c r="A10" s="11" t="s">
        <v>188</v>
      </c>
      <c r="B10" s="4" t="s">
        <v>189</v>
      </c>
      <c r="C10" s="4" t="s">
        <v>162</v>
      </c>
      <c r="D10" s="4" t="s">
        <v>190</v>
      </c>
      <c r="E10" s="4" t="s">
        <v>190</v>
      </c>
      <c r="F10" s="4" t="s">
        <v>70</v>
      </c>
      <c r="G10" s="6" t="n">
        <v>19737</v>
      </c>
      <c r="H10" s="6" t="n">
        <v>1794.27</v>
      </c>
      <c r="I10" s="4"/>
    </row>
    <row r="11" customFormat="false" ht="15" hidden="false" customHeight="false" outlineLevel="0" collapsed="false">
      <c r="A11" s="11" t="s">
        <v>191</v>
      </c>
      <c r="B11" s="4" t="s">
        <v>192</v>
      </c>
      <c r="C11" s="4" t="s">
        <v>162</v>
      </c>
      <c r="D11" s="4" t="s">
        <v>193</v>
      </c>
      <c r="E11" s="4" t="s">
        <v>194</v>
      </c>
      <c r="F11" s="4" t="s">
        <v>70</v>
      </c>
      <c r="G11" s="6" t="n">
        <v>23763</v>
      </c>
      <c r="H11" s="6" t="n">
        <v>2160.27</v>
      </c>
      <c r="I11" s="4"/>
    </row>
    <row r="12" customFormat="false" ht="15" hidden="false" customHeight="false" outlineLevel="0" collapsed="false">
      <c r="A12" s="11" t="s">
        <v>195</v>
      </c>
      <c r="B12" s="4" t="s">
        <v>196</v>
      </c>
      <c r="C12" s="4" t="s">
        <v>163</v>
      </c>
      <c r="D12" s="4" t="s">
        <v>197</v>
      </c>
      <c r="E12" s="4" t="s">
        <v>190</v>
      </c>
      <c r="F12" s="4" t="s">
        <v>70</v>
      </c>
      <c r="G12" s="6" t="n">
        <v>28945</v>
      </c>
      <c r="H12" s="6" t="n">
        <v>2631.36</v>
      </c>
      <c r="I12" s="4"/>
    </row>
    <row r="13" customFormat="false" ht="15" hidden="false" customHeight="false" outlineLevel="0" collapsed="false">
      <c r="A13" s="11" t="s">
        <v>198</v>
      </c>
      <c r="B13" s="4" t="s">
        <v>199</v>
      </c>
      <c r="C13" s="4" t="s">
        <v>163</v>
      </c>
      <c r="D13" s="4" t="s">
        <v>200</v>
      </c>
      <c r="E13" s="4" t="s">
        <v>201</v>
      </c>
      <c r="F13" s="4" t="s">
        <v>70</v>
      </c>
      <c r="G13" s="6" t="n">
        <v>7032</v>
      </c>
      <c r="H13" s="6" t="n">
        <v>639.27</v>
      </c>
      <c r="I13" s="4"/>
    </row>
    <row r="14" customFormat="false" ht="15" hidden="false" customHeight="false" outlineLevel="0" collapsed="false">
      <c r="A14" s="11" t="s">
        <v>202</v>
      </c>
      <c r="B14" s="4" t="s">
        <v>203</v>
      </c>
      <c r="C14" s="4" t="s">
        <v>204</v>
      </c>
      <c r="D14" s="4" t="s">
        <v>205</v>
      </c>
      <c r="E14" s="4" t="s">
        <v>37</v>
      </c>
      <c r="F14" s="4" t="s">
        <v>70</v>
      </c>
      <c r="G14" s="6" t="n">
        <v>28992</v>
      </c>
      <c r="H14" s="6" t="n">
        <v>2635.64</v>
      </c>
      <c r="I14" s="4"/>
    </row>
    <row r="15" customFormat="false" ht="15" hidden="false" customHeight="false" outlineLevel="0" collapsed="false">
      <c r="A15" s="11" t="s">
        <v>206</v>
      </c>
      <c r="B15" s="4" t="s">
        <v>207</v>
      </c>
      <c r="C15" s="4" t="s">
        <v>208</v>
      </c>
      <c r="D15" s="4" t="s">
        <v>16</v>
      </c>
      <c r="E15" s="4" t="s">
        <v>15</v>
      </c>
      <c r="F15" s="4" t="s">
        <v>38</v>
      </c>
      <c r="G15" s="6" t="n">
        <v>37273.2</v>
      </c>
      <c r="H15" s="6" t="n">
        <v>2485.15</v>
      </c>
      <c r="I15" s="4"/>
    </row>
    <row r="16" customFormat="false" ht="15" hidden="false" customHeight="false" outlineLevel="0" collapsed="false">
      <c r="A16" s="11" t="s">
        <v>209</v>
      </c>
      <c r="B16" s="4" t="s">
        <v>210</v>
      </c>
      <c r="C16" s="4" t="s">
        <v>211</v>
      </c>
      <c r="D16" s="4" t="s">
        <v>16</v>
      </c>
      <c r="E16" s="4" t="s">
        <v>212</v>
      </c>
      <c r="F16" s="4" t="s">
        <v>38</v>
      </c>
      <c r="G16" s="6" t="n">
        <v>29100</v>
      </c>
      <c r="H16" s="6" t="n">
        <v>2204.25</v>
      </c>
      <c r="I16" s="4"/>
    </row>
    <row r="17" customFormat="false" ht="15" hidden="false" customHeight="false" outlineLevel="0" collapsed="false">
      <c r="A17" s="11" t="s">
        <v>213</v>
      </c>
      <c r="B17" s="4" t="s">
        <v>214</v>
      </c>
      <c r="C17" s="4" t="s">
        <v>215</v>
      </c>
      <c r="D17" s="4" t="s">
        <v>216</v>
      </c>
      <c r="E17" s="4" t="s">
        <v>201</v>
      </c>
      <c r="F17" s="4" t="s">
        <v>70</v>
      </c>
      <c r="G17" s="6" t="n">
        <v>26747</v>
      </c>
      <c r="H17" s="6" t="n">
        <v>2431.55</v>
      </c>
      <c r="I17" s="4"/>
    </row>
    <row r="18" customFormat="false" ht="15" hidden="false" customHeight="false" outlineLevel="0" collapsed="false">
      <c r="A18" s="11" t="s">
        <v>63</v>
      </c>
      <c r="B18" s="4" t="s">
        <v>217</v>
      </c>
      <c r="C18" s="4" t="s">
        <v>218</v>
      </c>
      <c r="D18" s="4" t="s">
        <v>61</v>
      </c>
      <c r="E18" s="4" t="s">
        <v>12</v>
      </c>
      <c r="F18" s="4" t="s">
        <v>38</v>
      </c>
      <c r="G18" s="6" t="n">
        <v>17113</v>
      </c>
      <c r="H18" s="6" t="n">
        <v>1555.73</v>
      </c>
      <c r="I18" s="4"/>
    </row>
    <row r="19" customFormat="false" ht="15" hidden="false" customHeight="false" outlineLevel="0" collapsed="false">
      <c r="A19" s="11" t="s">
        <v>219</v>
      </c>
      <c r="B19" s="4" t="s">
        <v>220</v>
      </c>
      <c r="C19" s="4" t="s">
        <v>218</v>
      </c>
      <c r="D19" s="4" t="s">
        <v>221</v>
      </c>
      <c r="E19" s="4" t="s">
        <v>222</v>
      </c>
      <c r="F19" s="4" t="s">
        <v>70</v>
      </c>
      <c r="G19" s="6" t="n">
        <v>27325</v>
      </c>
      <c r="H19" s="6" t="n">
        <v>2484.09</v>
      </c>
      <c r="I19" s="4"/>
    </row>
    <row r="20" customFormat="false" ht="15" hidden="false" customHeight="false" outlineLevel="0" collapsed="false">
      <c r="A20" s="13" t="s">
        <v>223</v>
      </c>
      <c r="B20" s="14" t="s">
        <v>224</v>
      </c>
      <c r="C20" s="14" t="s">
        <v>225</v>
      </c>
      <c r="D20" s="14" t="s">
        <v>226</v>
      </c>
      <c r="E20" s="14" t="s">
        <v>12</v>
      </c>
      <c r="F20" s="14" t="s">
        <v>38</v>
      </c>
      <c r="G20" s="25" t="n">
        <v>0</v>
      </c>
      <c r="H20" s="25" t="n">
        <v>0</v>
      </c>
      <c r="I20" s="14" t="s">
        <v>227</v>
      </c>
    </row>
    <row r="21" customFormat="false" ht="15" hidden="false" customHeight="false" outlineLevel="0" collapsed="false">
      <c r="A21" s="11" t="s">
        <v>228</v>
      </c>
      <c r="B21" s="4" t="s">
        <v>229</v>
      </c>
      <c r="C21" s="4" t="s">
        <v>225</v>
      </c>
      <c r="D21" s="4" t="s">
        <v>230</v>
      </c>
      <c r="E21" s="4" t="s">
        <v>231</v>
      </c>
      <c r="F21" s="4" t="s">
        <v>70</v>
      </c>
      <c r="G21" s="6" t="n">
        <v>24878</v>
      </c>
      <c r="H21" s="6" t="n">
        <v>2261.64</v>
      </c>
      <c r="I21" s="4"/>
    </row>
    <row r="22" customFormat="false" ht="15" hidden="false" customHeight="false" outlineLevel="0" collapsed="false">
      <c r="A22" s="11" t="s">
        <v>232</v>
      </c>
      <c r="B22" s="4" t="s">
        <v>233</v>
      </c>
      <c r="C22" s="4" t="s">
        <v>234</v>
      </c>
      <c r="D22" s="4" t="s">
        <v>212</v>
      </c>
      <c r="E22" s="4" t="s">
        <v>12</v>
      </c>
      <c r="F22" s="4" t="s">
        <v>38</v>
      </c>
      <c r="G22" s="6" t="n">
        <v>23615</v>
      </c>
      <c r="H22" s="6" t="n">
        <v>2146.82</v>
      </c>
      <c r="I22" s="4"/>
    </row>
    <row r="23" customFormat="false" ht="15" hidden="false" customHeight="false" outlineLevel="0" collapsed="false">
      <c r="A23" s="11" t="s">
        <v>235</v>
      </c>
      <c r="B23" s="4" t="s">
        <v>236</v>
      </c>
      <c r="C23" s="4" t="s">
        <v>237</v>
      </c>
      <c r="D23" s="4" t="s">
        <v>226</v>
      </c>
      <c r="E23" s="4" t="s">
        <v>15</v>
      </c>
      <c r="F23" s="4" t="s">
        <v>38</v>
      </c>
      <c r="G23" s="6" t="n">
        <v>12925</v>
      </c>
      <c r="H23" s="6" t="n">
        <v>1175</v>
      </c>
      <c r="I23" s="4"/>
    </row>
    <row r="24" customFormat="false" ht="15" hidden="false" customHeight="false" outlineLevel="0" collapsed="false">
      <c r="A24" s="11" t="s">
        <v>238</v>
      </c>
      <c r="B24" s="4" t="s">
        <v>239</v>
      </c>
      <c r="C24" s="4" t="s">
        <v>240</v>
      </c>
      <c r="D24" s="4" t="s">
        <v>14</v>
      </c>
      <c r="E24" s="4" t="s">
        <v>12</v>
      </c>
      <c r="F24" s="4" t="s">
        <v>38</v>
      </c>
      <c r="G24" s="6" t="n">
        <v>16488</v>
      </c>
      <c r="H24" s="6" t="n">
        <v>1498.91</v>
      </c>
      <c r="I24" s="4"/>
    </row>
    <row r="25" customFormat="false" ht="15" hidden="false" customHeight="false" outlineLevel="0" collapsed="false">
      <c r="A25" s="11" t="s">
        <v>241</v>
      </c>
      <c r="B25" s="4" t="s">
        <v>242</v>
      </c>
      <c r="C25" s="4" t="s">
        <v>243</v>
      </c>
      <c r="D25" s="4" t="s">
        <v>74</v>
      </c>
      <c r="E25" s="4" t="s">
        <v>12</v>
      </c>
      <c r="F25" s="4" t="s">
        <v>70</v>
      </c>
      <c r="G25" s="6" t="n">
        <v>15439</v>
      </c>
      <c r="H25" s="6" t="n">
        <v>1403.55</v>
      </c>
      <c r="I25" s="4"/>
    </row>
    <row r="26" customFormat="false" ht="15" hidden="false" customHeight="false" outlineLevel="0" collapsed="false">
      <c r="A26" s="11" t="s">
        <v>244</v>
      </c>
      <c r="B26" s="4" t="s">
        <v>245</v>
      </c>
      <c r="C26" s="4" t="s">
        <v>246</v>
      </c>
      <c r="D26" s="4" t="s">
        <v>15</v>
      </c>
      <c r="E26" s="4" t="s">
        <v>15</v>
      </c>
      <c r="F26" s="4" t="s">
        <v>38</v>
      </c>
      <c r="G26" s="6" t="n">
        <v>78848</v>
      </c>
      <c r="H26" s="6" t="n">
        <v>7168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249</v>
      </c>
      <c r="D27" s="4" t="s">
        <v>15</v>
      </c>
      <c r="E27" s="4" t="s">
        <v>15</v>
      </c>
      <c r="F27" s="4" t="s">
        <v>38</v>
      </c>
      <c r="G27" s="6" t="n">
        <v>45416.8</v>
      </c>
      <c r="H27" s="6" t="n">
        <v>4128.8</v>
      </c>
      <c r="I27" s="4"/>
    </row>
    <row r="28" customFormat="false" ht="15" hidden="false" customHeight="false" outlineLevel="0" collapsed="false">
      <c r="A28" s="11" t="s">
        <v>250</v>
      </c>
      <c r="B28" s="4" t="s">
        <v>251</v>
      </c>
      <c r="C28" s="4" t="s">
        <v>252</v>
      </c>
      <c r="D28" s="4" t="s">
        <v>51</v>
      </c>
      <c r="E28" s="4" t="s">
        <v>51</v>
      </c>
      <c r="F28" s="4" t="s">
        <v>38</v>
      </c>
      <c r="G28" s="6" t="n">
        <v>34986.6</v>
      </c>
      <c r="H28" s="6" t="n">
        <v>3180.6</v>
      </c>
      <c r="I28" s="4"/>
    </row>
    <row r="29" customFormat="false" ht="15" hidden="false" customHeight="false" outlineLevel="0" collapsed="false">
      <c r="A29" s="11" t="s">
        <v>253</v>
      </c>
      <c r="B29" s="4" t="s">
        <v>254</v>
      </c>
      <c r="C29" s="4" t="s">
        <v>255</v>
      </c>
      <c r="D29" s="4" t="s">
        <v>15</v>
      </c>
      <c r="E29" s="4" t="s">
        <v>15</v>
      </c>
      <c r="F29" s="4" t="s">
        <v>38</v>
      </c>
      <c r="G29" s="6" t="n">
        <v>26011.6</v>
      </c>
      <c r="H29" s="6" t="n">
        <v>2364.69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15</v>
      </c>
      <c r="E30" s="4" t="s">
        <v>20</v>
      </c>
      <c r="F30" s="4" t="s">
        <v>38</v>
      </c>
      <c r="G30" s="6" t="n">
        <v>35698.8</v>
      </c>
      <c r="H30" s="6" t="n">
        <v>1622.67</v>
      </c>
      <c r="I30" s="4"/>
    </row>
    <row r="31" customFormat="false" ht="15" hidden="false" customHeight="false" outlineLevel="0" collapsed="false">
      <c r="A31" s="13" t="s">
        <v>259</v>
      </c>
      <c r="B31" s="14" t="s">
        <v>260</v>
      </c>
      <c r="C31" s="14" t="s">
        <v>261</v>
      </c>
      <c r="D31" s="14" t="s">
        <v>262</v>
      </c>
      <c r="E31" s="14" t="s">
        <v>15</v>
      </c>
      <c r="F31" s="14" t="s">
        <v>38</v>
      </c>
      <c r="G31" s="25" t="n">
        <v>0</v>
      </c>
      <c r="H31" s="25" t="n">
        <v>0</v>
      </c>
      <c r="I31" s="14" t="s">
        <v>227</v>
      </c>
    </row>
    <row r="32" customFormat="false" ht="15" hidden="false" customHeight="false" outlineLevel="0" collapsed="false">
      <c r="A32" s="13" t="s">
        <v>259</v>
      </c>
      <c r="B32" s="14" t="s">
        <v>263</v>
      </c>
      <c r="C32" s="14" t="s">
        <v>264</v>
      </c>
      <c r="D32" s="14" t="s">
        <v>20</v>
      </c>
      <c r="E32" s="14" t="s">
        <v>20</v>
      </c>
      <c r="F32" s="14" t="s">
        <v>38</v>
      </c>
      <c r="G32" s="25" t="n">
        <v>35000</v>
      </c>
      <c r="H32" s="25" t="n">
        <v>0</v>
      </c>
      <c r="I32" s="14" t="s">
        <v>265</v>
      </c>
    </row>
    <row r="33" customFormat="false" ht="15" hidden="false" customHeight="false" outlineLevel="0" collapsed="false">
      <c r="A33" s="11" t="s">
        <v>266</v>
      </c>
      <c r="B33" s="4" t="s">
        <v>267</v>
      </c>
      <c r="C33" s="4" t="s">
        <v>268</v>
      </c>
      <c r="D33" s="4" t="s">
        <v>51</v>
      </c>
      <c r="E33" s="4" t="s">
        <v>51</v>
      </c>
      <c r="F33" s="4" t="s">
        <v>38</v>
      </c>
      <c r="G33" s="6" t="n">
        <v>20594.6</v>
      </c>
      <c r="H33" s="6" t="n">
        <v>1872.24</v>
      </c>
      <c r="I33" s="4"/>
    </row>
    <row r="34" customFormat="false" ht="15" hidden="false" customHeight="false" outlineLevel="0" collapsed="false">
      <c r="A34" s="11" t="s">
        <v>269</v>
      </c>
      <c r="B34" s="4" t="s">
        <v>270</v>
      </c>
      <c r="C34" s="4" t="s">
        <v>271</v>
      </c>
      <c r="D34" s="4" t="s">
        <v>272</v>
      </c>
      <c r="E34" s="4" t="s">
        <v>273</v>
      </c>
      <c r="F34" s="4" t="s">
        <v>70</v>
      </c>
      <c r="G34" s="6" t="n">
        <v>22668</v>
      </c>
      <c r="H34" s="6" t="n">
        <v>2060.73</v>
      </c>
      <c r="I34" s="4"/>
    </row>
    <row r="35" customFormat="false" ht="15" hidden="false" customHeight="false" outlineLevel="0" collapsed="false">
      <c r="A35" s="11" t="s">
        <v>274</v>
      </c>
      <c r="B35" s="4" t="s">
        <v>275</v>
      </c>
      <c r="C35" s="4" t="s">
        <v>271</v>
      </c>
      <c r="D35" s="4" t="s">
        <v>190</v>
      </c>
      <c r="E35" s="4" t="s">
        <v>276</v>
      </c>
      <c r="F35" s="4" t="s">
        <v>70</v>
      </c>
      <c r="G35" s="6" t="n">
        <v>31267.25</v>
      </c>
      <c r="H35" s="6" t="n">
        <v>2842.48</v>
      </c>
      <c r="I35" s="4"/>
    </row>
    <row r="36" customFormat="false" ht="15" hidden="false" customHeight="false" outlineLevel="0" collapsed="false">
      <c r="A36" s="11" t="s">
        <v>274</v>
      </c>
      <c r="B36" s="4" t="s">
        <v>277</v>
      </c>
      <c r="C36" s="4" t="s">
        <v>271</v>
      </c>
      <c r="D36" s="4" t="s">
        <v>272</v>
      </c>
      <c r="E36" s="4" t="s">
        <v>190</v>
      </c>
      <c r="F36" s="4" t="s">
        <v>70</v>
      </c>
      <c r="G36" s="6" t="n">
        <v>37882.25</v>
      </c>
      <c r="H36" s="6" t="n">
        <v>3443.84</v>
      </c>
      <c r="I36" s="4"/>
    </row>
    <row r="37" customFormat="false" ht="15" hidden="false" customHeight="false" outlineLevel="0" collapsed="false">
      <c r="A37" s="11" t="s">
        <v>278</v>
      </c>
      <c r="B37" s="4" t="s">
        <v>279</v>
      </c>
      <c r="C37" s="4" t="s">
        <v>280</v>
      </c>
      <c r="D37" s="4" t="s">
        <v>190</v>
      </c>
      <c r="E37" s="4" t="s">
        <v>281</v>
      </c>
      <c r="F37" s="4" t="s">
        <v>70</v>
      </c>
      <c r="G37" s="6" t="n">
        <v>35548</v>
      </c>
      <c r="H37" s="6" t="n">
        <v>3231.64</v>
      </c>
      <c r="I37" s="4"/>
    </row>
    <row r="38" customFormat="false" ht="15" hidden="false" customHeight="false" outlineLevel="0" collapsed="false">
      <c r="A38" s="11" t="s">
        <v>282</v>
      </c>
      <c r="B38" s="4" t="s">
        <v>283</v>
      </c>
      <c r="C38" s="4" t="s">
        <v>284</v>
      </c>
      <c r="D38" s="4" t="s">
        <v>285</v>
      </c>
      <c r="E38" s="4" t="s">
        <v>190</v>
      </c>
      <c r="F38" s="4" t="s">
        <v>70</v>
      </c>
      <c r="G38" s="6" t="n">
        <v>24667</v>
      </c>
      <c r="H38" s="6" t="n">
        <v>2242.45</v>
      </c>
      <c r="I38" s="4"/>
    </row>
    <row r="39" customFormat="false" ht="15" hidden="false" customHeight="false" outlineLevel="0" collapsed="false">
      <c r="A39" s="11" t="s">
        <v>286</v>
      </c>
      <c r="B39" s="4" t="s">
        <v>287</v>
      </c>
      <c r="C39" s="4" t="s">
        <v>284</v>
      </c>
      <c r="D39" s="4" t="s">
        <v>197</v>
      </c>
      <c r="E39" s="4" t="s">
        <v>190</v>
      </c>
      <c r="F39" s="4" t="s">
        <v>70</v>
      </c>
      <c r="G39" s="6" t="n">
        <v>22630</v>
      </c>
      <c r="H39" s="6" t="n">
        <v>2057.27</v>
      </c>
      <c r="I39" s="4"/>
    </row>
    <row r="40" customFormat="false" ht="15" hidden="false" customHeight="false" outlineLevel="0" collapsed="false">
      <c r="A40" s="11" t="s">
        <v>288</v>
      </c>
      <c r="B40" s="4" t="s">
        <v>289</v>
      </c>
      <c r="C40" s="4" t="s">
        <v>290</v>
      </c>
      <c r="D40" s="4" t="s">
        <v>190</v>
      </c>
      <c r="E40" s="4" t="s">
        <v>291</v>
      </c>
      <c r="F40" s="4" t="s">
        <v>70</v>
      </c>
      <c r="G40" s="6" t="n">
        <v>36086</v>
      </c>
      <c r="H40" s="6" t="n">
        <v>3280.55</v>
      </c>
      <c r="I40" s="4"/>
    </row>
    <row r="41" customFormat="false" ht="15" hidden="false" customHeight="false" outlineLevel="0" collapsed="false">
      <c r="A41" s="11" t="s">
        <v>292</v>
      </c>
      <c r="B41" s="4" t="s">
        <v>293</v>
      </c>
      <c r="C41" s="4" t="s">
        <v>294</v>
      </c>
      <c r="D41" s="4" t="s">
        <v>12</v>
      </c>
      <c r="E41" s="4" t="s">
        <v>12</v>
      </c>
      <c r="F41" s="4" t="s">
        <v>38</v>
      </c>
      <c r="G41" s="6" t="n">
        <v>33761.6</v>
      </c>
      <c r="H41" s="6" t="n">
        <v>3069.24</v>
      </c>
      <c r="I41" s="4"/>
    </row>
    <row r="42" customFormat="false" ht="15" hidden="false" customHeight="false" outlineLevel="0" collapsed="false">
      <c r="A42" s="11" t="s">
        <v>295</v>
      </c>
      <c r="B42" s="4" t="s">
        <v>296</v>
      </c>
      <c r="C42" s="4" t="s">
        <v>297</v>
      </c>
      <c r="D42" s="4" t="s">
        <v>51</v>
      </c>
      <c r="E42" s="4" t="s">
        <v>15</v>
      </c>
      <c r="F42" s="4" t="s">
        <v>38</v>
      </c>
      <c r="G42" s="6" t="n">
        <v>27025.4</v>
      </c>
      <c r="H42" s="6" t="n">
        <v>2456.85</v>
      </c>
      <c r="I42" s="4"/>
    </row>
    <row r="43" customFormat="false" ht="15" hidden="false" customHeight="false" outlineLevel="0" collapsed="false">
      <c r="A43" s="11" t="s">
        <v>298</v>
      </c>
      <c r="B43" s="4" t="s">
        <v>299</v>
      </c>
      <c r="C43" s="4" t="s">
        <v>297</v>
      </c>
      <c r="D43" s="4" t="s">
        <v>300</v>
      </c>
      <c r="E43" s="4" t="s">
        <v>301</v>
      </c>
      <c r="F43" s="4" t="s">
        <v>70</v>
      </c>
      <c r="G43" s="6" t="n">
        <v>19261.6</v>
      </c>
      <c r="H43" s="6" t="n">
        <v>1751.05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12</v>
      </c>
      <c r="E44" s="4" t="s">
        <v>37</v>
      </c>
      <c r="F44" s="4" t="s">
        <v>38</v>
      </c>
      <c r="G44" s="6" t="n">
        <v>53448.08</v>
      </c>
      <c r="H44" s="6" t="n">
        <v>4858.92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308</v>
      </c>
      <c r="E45" s="4" t="s">
        <v>309</v>
      </c>
      <c r="F45" s="4" t="s">
        <v>70</v>
      </c>
      <c r="G45" s="6" t="n">
        <v>29199.2</v>
      </c>
      <c r="H45" s="6" t="n">
        <v>2654.47</v>
      </c>
      <c r="I45" s="4"/>
    </row>
    <row r="46" customFormat="false" ht="15" hidden="false" customHeight="false" outlineLevel="0" collapsed="false">
      <c r="A46" s="11" t="s">
        <v>310</v>
      </c>
      <c r="B46" s="4" t="s">
        <v>311</v>
      </c>
      <c r="C46" s="4" t="s">
        <v>307</v>
      </c>
      <c r="D46" s="4" t="s">
        <v>308</v>
      </c>
      <c r="E46" s="4" t="s">
        <v>309</v>
      </c>
      <c r="F46" s="4" t="s">
        <v>70</v>
      </c>
      <c r="G46" s="6" t="n">
        <v>23526.6</v>
      </c>
      <c r="H46" s="6" t="n">
        <v>2138.78</v>
      </c>
      <c r="I46" s="4"/>
    </row>
    <row r="47" customFormat="false" ht="15" hidden="false" customHeight="false" outlineLevel="0" collapsed="false">
      <c r="A47" s="11" t="s">
        <v>312</v>
      </c>
      <c r="B47" s="4" t="s">
        <v>313</v>
      </c>
      <c r="C47" s="4" t="s">
        <v>314</v>
      </c>
      <c r="D47" s="4" t="s">
        <v>315</v>
      </c>
      <c r="E47" s="4" t="s">
        <v>316</v>
      </c>
      <c r="F47" s="4" t="s">
        <v>70</v>
      </c>
      <c r="G47" s="6" t="n">
        <v>24250</v>
      </c>
      <c r="H47" s="6" t="n">
        <v>2204.55</v>
      </c>
      <c r="I47" s="4"/>
    </row>
    <row r="48" customFormat="false" ht="15" hidden="false" customHeight="false" outlineLevel="0" collapsed="false">
      <c r="A48" s="11" t="s">
        <v>317</v>
      </c>
      <c r="B48" s="4" t="s">
        <v>318</v>
      </c>
      <c r="C48" s="4" t="s">
        <v>314</v>
      </c>
      <c r="D48" s="4" t="s">
        <v>308</v>
      </c>
      <c r="E48" s="4" t="s">
        <v>309</v>
      </c>
      <c r="F48" s="4" t="s">
        <v>70</v>
      </c>
      <c r="G48" s="6" t="n">
        <v>38748.2</v>
      </c>
      <c r="H48" s="6" t="n">
        <v>3522.56</v>
      </c>
      <c r="I48" s="4"/>
    </row>
    <row r="49" customFormat="false" ht="15" hidden="false" customHeight="false" outlineLevel="0" collapsed="false">
      <c r="A49" s="11" t="s">
        <v>319</v>
      </c>
      <c r="B49" s="4" t="s">
        <v>320</v>
      </c>
      <c r="C49" s="4" t="s">
        <v>321</v>
      </c>
      <c r="D49" s="4" t="s">
        <v>308</v>
      </c>
      <c r="E49" s="4" t="s">
        <v>309</v>
      </c>
      <c r="F49" s="4" t="s">
        <v>70</v>
      </c>
      <c r="G49" s="6" t="n">
        <v>32097.6</v>
      </c>
      <c r="H49" s="6" t="n">
        <v>2917.96</v>
      </c>
      <c r="I49" s="4"/>
    </row>
    <row r="50" customFormat="false" ht="15" hidden="false" customHeight="false" outlineLevel="0" collapsed="false">
      <c r="A50" s="11" t="s">
        <v>322</v>
      </c>
      <c r="B50" s="4" t="s">
        <v>323</v>
      </c>
      <c r="C50" s="4" t="s">
        <v>321</v>
      </c>
      <c r="D50" s="4" t="s">
        <v>308</v>
      </c>
      <c r="E50" s="4" t="s">
        <v>309</v>
      </c>
      <c r="F50" s="4" t="s">
        <v>70</v>
      </c>
      <c r="G50" s="6" t="n">
        <v>14851.2</v>
      </c>
      <c r="H50" s="6" t="n">
        <v>1350.11</v>
      </c>
      <c r="I50" s="4"/>
    </row>
    <row r="51" customFormat="false" ht="15" hidden="false" customHeight="false" outlineLevel="0" collapsed="false">
      <c r="A51" s="11" t="s">
        <v>324</v>
      </c>
      <c r="B51" s="4" t="s">
        <v>325</v>
      </c>
      <c r="C51" s="4" t="s">
        <v>326</v>
      </c>
      <c r="D51" s="4" t="s">
        <v>51</v>
      </c>
      <c r="E51" s="4" t="s">
        <v>15</v>
      </c>
      <c r="F51" s="4" t="s">
        <v>38</v>
      </c>
      <c r="G51" s="6" t="n">
        <v>71953.2</v>
      </c>
      <c r="H51" s="6" t="n">
        <v>6541.2</v>
      </c>
      <c r="I51" s="4"/>
    </row>
    <row r="52" customFormat="false" ht="15" hidden="false" customHeight="false" outlineLevel="0" collapsed="false">
      <c r="A52" s="11" t="s">
        <v>327</v>
      </c>
      <c r="B52" s="4" t="s">
        <v>328</v>
      </c>
      <c r="C52" s="4" t="s">
        <v>329</v>
      </c>
      <c r="D52" s="4" t="s">
        <v>15</v>
      </c>
      <c r="E52" s="4" t="s">
        <v>15</v>
      </c>
      <c r="F52" s="4" t="s">
        <v>38</v>
      </c>
      <c r="G52" s="6" t="n">
        <v>31049.2</v>
      </c>
      <c r="H52" s="6" t="n">
        <v>2822.65</v>
      </c>
      <c r="I52" s="4"/>
    </row>
    <row r="53" customFormat="false" ht="15" hidden="false" customHeight="false" outlineLevel="0" collapsed="false">
      <c r="A53" s="11" t="s">
        <v>330</v>
      </c>
      <c r="B53" s="4" t="s">
        <v>331</v>
      </c>
      <c r="C53" s="4" t="s">
        <v>332</v>
      </c>
      <c r="D53" s="4" t="s">
        <v>300</v>
      </c>
      <c r="E53" s="4" t="s">
        <v>301</v>
      </c>
      <c r="F53" s="4" t="s">
        <v>70</v>
      </c>
      <c r="G53" s="6" t="n">
        <v>48152.8</v>
      </c>
      <c r="H53" s="6" t="n">
        <v>4377.53</v>
      </c>
      <c r="I53" s="4"/>
    </row>
    <row r="54" customFormat="false" ht="15" hidden="false" customHeight="false" outlineLevel="0" collapsed="false">
      <c r="A54" s="11" t="s">
        <v>333</v>
      </c>
      <c r="B54" s="4" t="s">
        <v>334</v>
      </c>
      <c r="C54" s="4" t="s">
        <v>335</v>
      </c>
      <c r="D54" s="4" t="s">
        <v>300</v>
      </c>
      <c r="E54" s="4" t="s">
        <v>301</v>
      </c>
      <c r="F54" s="4" t="s">
        <v>70</v>
      </c>
      <c r="G54" s="6" t="n">
        <v>30394.4</v>
      </c>
      <c r="H54" s="6" t="n">
        <v>2763.13</v>
      </c>
      <c r="I54" s="4"/>
    </row>
    <row r="55" customFormat="false" ht="15" hidden="false" customHeight="false" outlineLevel="0" collapsed="false">
      <c r="A55" s="11" t="s">
        <v>336</v>
      </c>
      <c r="B55" s="4" t="s">
        <v>337</v>
      </c>
      <c r="C55" s="4" t="s">
        <v>335</v>
      </c>
      <c r="D55" s="4" t="s">
        <v>300</v>
      </c>
      <c r="E55" s="4" t="s">
        <v>301</v>
      </c>
      <c r="F55" s="4" t="s">
        <v>70</v>
      </c>
      <c r="G55" s="6" t="n">
        <v>30114</v>
      </c>
      <c r="H55" s="6" t="n">
        <v>2737.64</v>
      </c>
      <c r="I55" s="4"/>
    </row>
    <row r="56" customFormat="false" ht="15" hidden="false" customHeight="false" outlineLevel="0" collapsed="false">
      <c r="A56" s="11" t="s">
        <v>338</v>
      </c>
      <c r="B56" s="4" t="s">
        <v>339</v>
      </c>
      <c r="C56" s="4" t="s">
        <v>340</v>
      </c>
      <c r="D56" s="4" t="s">
        <v>300</v>
      </c>
      <c r="E56" s="4" t="s">
        <v>301</v>
      </c>
      <c r="F56" s="4" t="s">
        <v>70</v>
      </c>
      <c r="G56" s="6" t="n">
        <v>27098.8</v>
      </c>
      <c r="H56" s="6" t="n">
        <v>2463.53</v>
      </c>
      <c r="I56" s="4"/>
    </row>
    <row r="57" customFormat="false" ht="15" hidden="false" customHeight="false" outlineLevel="0" collapsed="false">
      <c r="A57" s="11" t="s">
        <v>341</v>
      </c>
      <c r="B57" s="4" t="s">
        <v>342</v>
      </c>
      <c r="C57" s="4" t="s">
        <v>340</v>
      </c>
      <c r="D57" s="4" t="s">
        <v>15</v>
      </c>
      <c r="E57" s="4" t="s">
        <v>15</v>
      </c>
      <c r="F57" s="4" t="s">
        <v>38</v>
      </c>
      <c r="G57" s="6" t="n">
        <v>29890</v>
      </c>
      <c r="H57" s="6" t="n">
        <v>2717.27</v>
      </c>
      <c r="I57" s="4"/>
    </row>
    <row r="58" customFormat="false" ht="15" hidden="false" customHeight="false" outlineLevel="0" collapsed="false">
      <c r="A58" s="11" t="s">
        <v>343</v>
      </c>
      <c r="B58" s="4" t="s">
        <v>344</v>
      </c>
      <c r="C58" s="4" t="s">
        <v>345</v>
      </c>
      <c r="D58" s="4" t="s">
        <v>346</v>
      </c>
      <c r="E58" s="4" t="s">
        <v>20</v>
      </c>
      <c r="F58" s="4" t="s">
        <v>38</v>
      </c>
      <c r="G58" s="6" t="n">
        <v>16511.6</v>
      </c>
      <c r="H58" s="6" t="n">
        <v>750.53</v>
      </c>
      <c r="I58" s="4"/>
    </row>
    <row r="59" customFormat="false" ht="15" hidden="false" customHeight="false" outlineLevel="0" collapsed="false">
      <c r="A59" s="11" t="s">
        <v>347</v>
      </c>
      <c r="B59" s="4" t="s">
        <v>348</v>
      </c>
      <c r="C59" s="4" t="s">
        <v>349</v>
      </c>
      <c r="D59" s="4" t="s">
        <v>51</v>
      </c>
      <c r="E59" s="4" t="s">
        <v>51</v>
      </c>
      <c r="F59" s="4" t="s">
        <v>38</v>
      </c>
      <c r="G59" s="6" t="n">
        <v>18139.6</v>
      </c>
      <c r="H59" s="6" t="n">
        <v>1649.05</v>
      </c>
      <c r="I59" s="4"/>
    </row>
    <row r="60" customFormat="false" ht="15" hidden="false" customHeight="false" outlineLevel="0" collapsed="false">
      <c r="A60" s="11" t="s">
        <v>350</v>
      </c>
      <c r="B60" s="4" t="s">
        <v>351</v>
      </c>
      <c r="C60" s="4" t="s">
        <v>352</v>
      </c>
      <c r="D60" s="4" t="s">
        <v>16</v>
      </c>
      <c r="E60" s="4" t="s">
        <v>15</v>
      </c>
      <c r="F60" s="4" t="s">
        <v>38</v>
      </c>
      <c r="G60" s="6" t="n">
        <v>19415.1</v>
      </c>
      <c r="H60" s="6" t="n">
        <v>1118.11</v>
      </c>
      <c r="I60" s="4"/>
    </row>
    <row r="61" customFormat="false" ht="15" hidden="false" customHeight="false" outlineLevel="0" collapsed="false">
      <c r="A61" s="11" t="s">
        <v>353</v>
      </c>
      <c r="B61" s="4" t="s">
        <v>354</v>
      </c>
      <c r="C61" s="4" t="s">
        <v>355</v>
      </c>
      <c r="D61" s="4" t="s">
        <v>15</v>
      </c>
      <c r="E61" s="4" t="s">
        <v>15</v>
      </c>
      <c r="F61" s="4" t="s">
        <v>38</v>
      </c>
      <c r="G61" s="6" t="n">
        <v>57409.2</v>
      </c>
      <c r="H61" s="6" t="n">
        <v>5219.02</v>
      </c>
      <c r="I61" s="4"/>
    </row>
    <row r="62" customFormat="false" ht="15" hidden="false" customHeight="false" outlineLevel="0" collapsed="false">
      <c r="A62" s="11" t="s">
        <v>356</v>
      </c>
      <c r="B62" s="4" t="s">
        <v>357</v>
      </c>
      <c r="C62" s="4" t="s">
        <v>358</v>
      </c>
      <c r="D62" s="4" t="s">
        <v>15</v>
      </c>
      <c r="E62" s="4" t="s">
        <v>15</v>
      </c>
      <c r="F62" s="4" t="s">
        <v>38</v>
      </c>
      <c r="G62" s="6" t="n">
        <v>36436.2</v>
      </c>
      <c r="H62" s="6" t="n">
        <v>3312.38</v>
      </c>
      <c r="I62" s="4"/>
    </row>
    <row r="63" customFormat="false" ht="15" hidden="false" customHeight="false" outlineLevel="0" collapsed="false">
      <c r="A63" s="11" t="s">
        <v>359</v>
      </c>
      <c r="B63" s="4" t="s">
        <v>360</v>
      </c>
      <c r="C63" s="4" t="s">
        <v>361</v>
      </c>
      <c r="D63" s="4" t="s">
        <v>362</v>
      </c>
      <c r="E63" s="4" t="s">
        <v>363</v>
      </c>
      <c r="F63" s="4" t="s">
        <v>70</v>
      </c>
      <c r="G63" s="6" t="n">
        <v>29420.2</v>
      </c>
      <c r="H63" s="6" t="n">
        <v>2674.56</v>
      </c>
      <c r="I63" s="4"/>
    </row>
    <row r="64" customFormat="false" ht="15" hidden="false" customHeight="false" outlineLevel="0" collapsed="false">
      <c r="A64" s="11" t="s">
        <v>364</v>
      </c>
      <c r="B64" s="4" t="s">
        <v>365</v>
      </c>
      <c r="C64" s="4" t="s">
        <v>366</v>
      </c>
      <c r="D64" s="4" t="s">
        <v>51</v>
      </c>
      <c r="E64" s="4" t="s">
        <v>15</v>
      </c>
      <c r="F64" s="4" t="s">
        <v>38</v>
      </c>
      <c r="G64" s="6" t="n">
        <v>12877.6</v>
      </c>
      <c r="H64" s="6" t="n">
        <v>1170.69</v>
      </c>
      <c r="I64" s="4"/>
    </row>
    <row r="65" customFormat="false" ht="15" hidden="false" customHeight="false" outlineLevel="0" collapsed="false">
      <c r="A65" s="11" t="s">
        <v>367</v>
      </c>
      <c r="B65" s="4" t="s">
        <v>368</v>
      </c>
      <c r="C65" s="4" t="s">
        <v>369</v>
      </c>
      <c r="D65" s="4" t="s">
        <v>51</v>
      </c>
      <c r="E65" s="4" t="s">
        <v>51</v>
      </c>
      <c r="F65" s="4" t="s">
        <v>38</v>
      </c>
      <c r="G65" s="6" t="n">
        <v>21878</v>
      </c>
      <c r="H65" s="6" t="n">
        <v>1988.91</v>
      </c>
      <c r="I65" s="4"/>
    </row>
    <row r="66" customFormat="false" ht="15" hidden="false" customHeight="false" outlineLevel="0" collapsed="false">
      <c r="A66" s="11" t="s">
        <v>370</v>
      </c>
      <c r="B66" s="4" t="s">
        <v>371</v>
      </c>
      <c r="C66" s="4" t="s">
        <v>372</v>
      </c>
      <c r="D66" s="4" t="s">
        <v>15</v>
      </c>
      <c r="E66" s="4" t="s">
        <v>15</v>
      </c>
      <c r="F66" s="4" t="s">
        <v>38</v>
      </c>
      <c r="G66" s="6" t="n">
        <v>15218</v>
      </c>
      <c r="H66" s="6" t="n">
        <v>1383.45</v>
      </c>
      <c r="I66" s="4"/>
    </row>
    <row r="67" customFormat="false" ht="15" hidden="false" customHeight="false" outlineLevel="0" collapsed="false">
      <c r="A67" s="11" t="s">
        <v>373</v>
      </c>
      <c r="B67" s="4" t="s">
        <v>374</v>
      </c>
      <c r="C67" s="4" t="s">
        <v>375</v>
      </c>
      <c r="D67" s="4" t="s">
        <v>51</v>
      </c>
      <c r="E67" s="4" t="s">
        <v>15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376</v>
      </c>
      <c r="B68" s="4" t="s">
        <v>377</v>
      </c>
      <c r="C68" s="4" t="s">
        <v>378</v>
      </c>
      <c r="D68" s="4" t="s">
        <v>51</v>
      </c>
      <c r="E68" s="4" t="s">
        <v>51</v>
      </c>
      <c r="F68" s="4" t="s">
        <v>38</v>
      </c>
      <c r="G68" s="6" t="n">
        <v>8175</v>
      </c>
      <c r="H68" s="6" t="n">
        <v>743.18</v>
      </c>
      <c r="I68" s="4"/>
    </row>
    <row r="69" customFormat="false" ht="15" hidden="false" customHeight="false" outlineLevel="0" collapsed="false">
      <c r="A69" s="11" t="s">
        <v>379</v>
      </c>
      <c r="B69" s="4" t="s">
        <v>380</v>
      </c>
      <c r="C69" s="4" t="s">
        <v>381</v>
      </c>
      <c r="D69" s="4" t="s">
        <v>15</v>
      </c>
      <c r="E69" s="4" t="s">
        <v>15</v>
      </c>
      <c r="F69" s="4" t="s">
        <v>38</v>
      </c>
      <c r="G69" s="6" t="n">
        <v>15535.6</v>
      </c>
      <c r="H69" s="6" t="n">
        <v>1412.33</v>
      </c>
      <c r="I69" s="4"/>
    </row>
    <row r="70" customFormat="false" ht="15" hidden="false" customHeight="false" outlineLevel="0" collapsed="false">
      <c r="A70" s="11" t="s">
        <v>382</v>
      </c>
      <c r="B70" s="4" t="s">
        <v>383</v>
      </c>
      <c r="C70" s="4" t="s">
        <v>384</v>
      </c>
      <c r="D70" s="4" t="s">
        <v>362</v>
      </c>
      <c r="E70" s="4" t="s">
        <v>363</v>
      </c>
      <c r="F70" s="4" t="s">
        <v>70</v>
      </c>
      <c r="G70" s="6" t="n">
        <v>22201</v>
      </c>
      <c r="H70" s="6" t="n">
        <v>2018.27</v>
      </c>
      <c r="I70" s="4"/>
    </row>
    <row r="71" customFormat="false" ht="15" hidden="false" customHeight="false" outlineLevel="0" collapsed="false">
      <c r="A71" s="11" t="s">
        <v>385</v>
      </c>
      <c r="B71" s="4" t="s">
        <v>386</v>
      </c>
      <c r="C71" s="4" t="s">
        <v>387</v>
      </c>
      <c r="D71" s="4" t="s">
        <v>15</v>
      </c>
      <c r="E71" s="4" t="s">
        <v>15</v>
      </c>
      <c r="F71" s="4" t="s">
        <v>38</v>
      </c>
      <c r="G71" s="6" t="n">
        <v>13527.6</v>
      </c>
      <c r="H71" s="6" t="n">
        <v>1229.78</v>
      </c>
      <c r="I71" s="4"/>
    </row>
    <row r="72" customFormat="false" ht="15" hidden="false" customHeight="false" outlineLevel="0" collapsed="false">
      <c r="A72" s="11" t="s">
        <v>388</v>
      </c>
      <c r="B72" s="4" t="s">
        <v>389</v>
      </c>
      <c r="C72" s="4" t="s">
        <v>387</v>
      </c>
      <c r="D72" s="4" t="s">
        <v>15</v>
      </c>
      <c r="E72" s="4" t="s">
        <v>15</v>
      </c>
      <c r="F72" s="4" t="s">
        <v>38</v>
      </c>
      <c r="G72" s="6" t="n">
        <v>10729</v>
      </c>
      <c r="H72" s="6" t="n">
        <v>975.36</v>
      </c>
      <c r="I72" s="4"/>
    </row>
    <row r="73" customFormat="false" ht="15" hidden="false" customHeight="false" outlineLevel="0" collapsed="false">
      <c r="A73" s="11" t="s">
        <v>390</v>
      </c>
      <c r="B73" s="4" t="s">
        <v>391</v>
      </c>
      <c r="C73" s="4" t="s">
        <v>392</v>
      </c>
      <c r="D73" s="4" t="s">
        <v>362</v>
      </c>
      <c r="E73" s="4" t="s">
        <v>363</v>
      </c>
      <c r="F73" s="4" t="s">
        <v>70</v>
      </c>
      <c r="G73" s="6" t="n">
        <v>17583</v>
      </c>
      <c r="H73" s="6" t="n">
        <v>1598.45</v>
      </c>
      <c r="I73" s="4"/>
    </row>
    <row r="74" customFormat="false" ht="15" hidden="false" customHeight="false" outlineLevel="0" collapsed="false">
      <c r="A74" s="11" t="s">
        <v>393</v>
      </c>
      <c r="B74" s="4" t="s">
        <v>394</v>
      </c>
      <c r="C74" s="4" t="s">
        <v>395</v>
      </c>
      <c r="D74" s="4" t="s">
        <v>346</v>
      </c>
      <c r="E74" s="4" t="s">
        <v>15</v>
      </c>
      <c r="F74" s="4" t="s">
        <v>38</v>
      </c>
      <c r="G74" s="6" t="n">
        <v>4000</v>
      </c>
      <c r="H74" s="6" t="n">
        <v>363.64</v>
      </c>
      <c r="I74" s="4"/>
    </row>
    <row r="75" customFormat="false" ht="15" hidden="false" customHeight="false" outlineLevel="0" collapsed="false">
      <c r="A75" s="11" t="s">
        <v>396</v>
      </c>
      <c r="B75" s="4" t="s">
        <v>397</v>
      </c>
      <c r="C75" s="4" t="s">
        <v>395</v>
      </c>
      <c r="D75" s="4" t="s">
        <v>15</v>
      </c>
      <c r="E75" s="4" t="s">
        <v>15</v>
      </c>
      <c r="F75" s="4" t="s">
        <v>38</v>
      </c>
      <c r="G75" s="6" t="n">
        <v>5000</v>
      </c>
      <c r="H75" s="6" t="n">
        <v>454.55</v>
      </c>
      <c r="I75" s="4"/>
    </row>
    <row r="76" customFormat="false" ht="15" hidden="false" customHeight="false" outlineLevel="0" collapsed="false">
      <c r="A76" s="11" t="s">
        <v>398</v>
      </c>
      <c r="B76" s="4" t="s">
        <v>399</v>
      </c>
      <c r="C76" s="4" t="s">
        <v>400</v>
      </c>
      <c r="D76" s="4" t="s">
        <v>15</v>
      </c>
      <c r="E76" s="4" t="s">
        <v>15</v>
      </c>
      <c r="F76" s="4" t="s">
        <v>38</v>
      </c>
      <c r="G76" s="6" t="n">
        <v>5250</v>
      </c>
      <c r="H76" s="6" t="n">
        <v>477.27</v>
      </c>
      <c r="I76" s="4"/>
    </row>
    <row r="77" customFormat="false" ht="15" hidden="false" customHeight="false" outlineLevel="0" collapsed="false">
      <c r="A77" s="11" t="s">
        <v>401</v>
      </c>
      <c r="B77" s="4" t="s">
        <v>402</v>
      </c>
      <c r="C77" s="4" t="s">
        <v>403</v>
      </c>
      <c r="D77" s="4" t="s">
        <v>15</v>
      </c>
      <c r="E77" s="4" t="s">
        <v>15</v>
      </c>
      <c r="F77" s="4" t="s">
        <v>38</v>
      </c>
      <c r="G77" s="6" t="n">
        <v>10000</v>
      </c>
      <c r="H77" s="6" t="n">
        <v>909.09</v>
      </c>
      <c r="I77" s="4"/>
    </row>
    <row r="78" customFormat="false" ht="15" hidden="false" customHeight="false" outlineLevel="0" collapsed="false">
      <c r="A78" s="11" t="s">
        <v>404</v>
      </c>
      <c r="B78" s="4" t="s">
        <v>405</v>
      </c>
      <c r="C78" s="4" t="s">
        <v>406</v>
      </c>
      <c r="D78" s="4" t="s">
        <v>15</v>
      </c>
      <c r="E78" s="4" t="s">
        <v>15</v>
      </c>
      <c r="F78" s="4" t="s">
        <v>38</v>
      </c>
      <c r="G78" s="6" t="n">
        <v>150</v>
      </c>
      <c r="H78" s="6" t="n">
        <v>13.64</v>
      </c>
      <c r="I78" s="4"/>
    </row>
    <row r="79" customFormat="false" ht="15" hidden="false" customHeight="false" outlineLevel="0" collapsed="false">
      <c r="A79" s="11" t="s">
        <v>407</v>
      </c>
      <c r="B79" s="4" t="s">
        <v>408</v>
      </c>
      <c r="C79" s="4" t="s">
        <v>409</v>
      </c>
      <c r="D79" s="4" t="s">
        <v>15</v>
      </c>
      <c r="E79" s="4" t="s">
        <v>15</v>
      </c>
      <c r="F79" s="4" t="s">
        <v>38</v>
      </c>
      <c r="G79" s="6" t="n">
        <v>20000</v>
      </c>
      <c r="H79" s="6" t="n">
        <v>1818.18</v>
      </c>
      <c r="I79" s="4"/>
    </row>
    <row r="80" customFormat="false" ht="15" hidden="false" customHeight="false" outlineLevel="0" collapsed="false">
      <c r="A80" s="11" t="s">
        <v>410</v>
      </c>
      <c r="B80" s="4" t="s">
        <v>411</v>
      </c>
      <c r="C80" s="4" t="s">
        <v>412</v>
      </c>
      <c r="D80" s="4" t="s">
        <v>15</v>
      </c>
      <c r="E80" s="4" t="s">
        <v>15</v>
      </c>
      <c r="F80" s="4" t="s">
        <v>38</v>
      </c>
      <c r="G80" s="6" t="n">
        <v>5000</v>
      </c>
      <c r="H80" s="6" t="n">
        <v>454.55</v>
      </c>
      <c r="I80" s="4"/>
    </row>
    <row r="81" customFormat="false" ht="15" hidden="false" customHeight="false" outlineLevel="0" collapsed="false">
      <c r="A81" s="11" t="s">
        <v>413</v>
      </c>
      <c r="B81" s="4" t="s">
        <v>414</v>
      </c>
      <c r="C81" s="4" t="s">
        <v>415</v>
      </c>
      <c r="D81" s="4" t="s">
        <v>15</v>
      </c>
      <c r="E81" s="4" t="s">
        <v>15</v>
      </c>
      <c r="F81" s="4" t="s">
        <v>38</v>
      </c>
      <c r="G81" s="6" t="n">
        <v>5500</v>
      </c>
      <c r="H81" s="6" t="n">
        <v>500</v>
      </c>
      <c r="I81" s="4"/>
    </row>
    <row r="82" customFormat="false" ht="15" hidden="false" customHeight="false" outlineLevel="0" collapsed="false">
      <c r="A82" s="7" t="s">
        <v>118</v>
      </c>
      <c r="B82" s="7"/>
      <c r="C82" s="7"/>
      <c r="D82" s="7"/>
      <c r="E82" s="7"/>
      <c r="F82" s="7"/>
      <c r="G82" s="8" t="n">
        <f aca="false">SUM(G6:G81)</f>
        <v>1904462.68</v>
      </c>
      <c r="H82" s="8" t="n">
        <f aca="false">SUM(H6:H81)</f>
        <v>164515.35</v>
      </c>
      <c r="I82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ECD8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416</v>
      </c>
      <c r="B1" s="1"/>
    </row>
    <row r="2" customFormat="false" ht="15" hidden="false" customHeight="false" outlineLevel="0" collapsed="false">
      <c r="A2" s="2" t="s">
        <v>417</v>
      </c>
      <c r="B2" s="2"/>
    </row>
    <row r="4" customFormat="false" ht="27.75" hidden="false" customHeight="true" outlineLevel="0" collapsed="false">
      <c r="A4" s="26" t="s">
        <v>418</v>
      </c>
      <c r="B4" s="27" t="s">
        <v>419</v>
      </c>
    </row>
    <row r="5" customFormat="false" ht="27.75" hidden="false" customHeight="true" outlineLevel="0" collapsed="false">
      <c r="A5" s="26" t="s">
        <v>420</v>
      </c>
      <c r="B5" s="27" t="s">
        <v>421</v>
      </c>
    </row>
    <row r="6" customFormat="false" ht="27.75" hidden="false" customHeight="true" outlineLevel="0" collapsed="false">
      <c r="A6" s="26" t="s">
        <v>422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423</v>
      </c>
    </row>
    <row r="8" customFormat="false" ht="39" hidden="false" customHeight="true" outlineLevel="0" collapsed="false">
      <c r="A8" s="26" t="s">
        <v>14</v>
      </c>
      <c r="B8" s="27" t="s">
        <v>424</v>
      </c>
    </row>
    <row r="9" customFormat="false" ht="27.75" hidden="false" customHeight="true" outlineLevel="0" collapsed="false">
      <c r="A9" s="26" t="s">
        <v>18</v>
      </c>
      <c r="B9" s="27" t="s">
        <v>425</v>
      </c>
    </row>
    <row r="10" customFormat="false" ht="27.75" hidden="false" customHeight="true" outlineLevel="0" collapsed="false">
      <c r="A10" s="26" t="s">
        <v>15</v>
      </c>
      <c r="B10" s="27" t="s">
        <v>426</v>
      </c>
    </row>
    <row r="11" customFormat="false" ht="39" hidden="false" customHeight="true" outlineLevel="0" collapsed="false">
      <c r="A11" s="26" t="s">
        <v>16</v>
      </c>
      <c r="B11" s="27" t="s">
        <v>427</v>
      </c>
    </row>
    <row r="12" customFormat="false" ht="39" hidden="false" customHeight="true" outlineLevel="0" collapsed="false">
      <c r="A12" s="26" t="s">
        <v>428</v>
      </c>
      <c r="B12" s="27" t="s">
        <v>429</v>
      </c>
    </row>
    <row r="13" customFormat="false" ht="51.75" hidden="false" customHeight="true" outlineLevel="0" collapsed="false">
      <c r="A13" s="26" t="s">
        <v>430</v>
      </c>
      <c r="B13" s="27" t="s">
        <v>431</v>
      </c>
    </row>
    <row r="14" customFormat="false" ht="27.75" hidden="false" customHeight="true" outlineLevel="0" collapsed="false">
      <c r="A14" s="26" t="s">
        <v>432</v>
      </c>
      <c r="B14" s="27" t="s">
        <v>22</v>
      </c>
    </row>
    <row r="15" customFormat="false" ht="27.75" hidden="false" customHeight="true" outlineLevel="0" collapsed="false">
      <c r="A15" s="26" t="s">
        <v>433</v>
      </c>
      <c r="B15" s="27" t="s">
        <v>434</v>
      </c>
    </row>
    <row r="16" customFormat="false" ht="27.75" hidden="false" customHeight="true" outlineLevel="0" collapsed="false">
      <c r="A16" s="26" t="s">
        <v>435</v>
      </c>
      <c r="B16" s="27" t="s">
        <v>436</v>
      </c>
    </row>
    <row r="17" customFormat="false" ht="39" hidden="false" customHeight="true" outlineLevel="0" collapsed="false">
      <c r="A17" s="26" t="s">
        <v>437</v>
      </c>
      <c r="B17" s="27" t="s">
        <v>438</v>
      </c>
    </row>
    <row r="18" customFormat="false" ht="27.75" hidden="false" customHeight="true" outlineLevel="0" collapsed="false">
      <c r="A18" s="26" t="s">
        <v>132</v>
      </c>
      <c r="B18" s="27" t="s">
        <v>439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2026-08-25T04:41:13Z</dcterms:created>
  <dc:creator>openpyxl</dc:creator>
  <dc:description/>
  <dc:language>en-US</dc:language>
  <cp:lastModifiedBy/>
  <dcterms:modified xsi:type="dcterms:W3CDTF">2026-08-25T04:41:13Z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