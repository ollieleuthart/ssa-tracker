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🔮 Pipeline" sheetId="2" state="visible" r:id="rId4"/>
    <sheet name="💰 Retainer Log" sheetId="3" state="visible" r:id="rId5"/>
    <sheet name="📜 Historic Deals Log" sheetId="4" state="visible" r:id="rId6"/>
    <sheet name="📋 READ 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<sst xmlns="http://schemas.openxmlformats.org/spreadsheetml/2006/main" count="715" uniqueCount="420">
  <si>
    <t xml:space="preserve">SMART SWITCH — COMMISSION TRACKER (RESET · 20 JULY 2026)</t>
  </si>
  <si>
    <t xml:space="preserve">Fresh-start tracker. Starting positions struck at 20/07/26. Commission counts forward only. FTEs shown as debt to earn back. Hugo: from 07/08/26 no retainer arrangement — commission payable on top; pre-07/08 deficit frozen. HubSpot pull 11/08/26; Meta ad spend per Cesca report to 07/08/26 + receipt to 10/08/26.</t>
  </si>
  <si>
    <t xml:space="preserve">Name</t>
  </si>
  <si>
    <t xml:space="preserve">Type</t>
  </si>
  <si>
    <t xml:space="preserve">Start Position
(20/07/26)</t>
  </si>
  <si>
    <t xml:space="preserve">Retainer + Ad Spend
(since 20/07/26)</t>
  </si>
  <si>
    <t xml:space="preserve">Commission
Earned
(post-20/07/26)</t>
  </si>
  <si>
    <t xml:space="preserve">Current
Position</t>
  </si>
  <si>
    <t xml:space="preserve">Status</t>
  </si>
  <si>
    <t xml:space="preserve">Commission
Pending</t>
  </si>
  <si>
    <t xml:space="preserve">Projected
Position</t>
  </si>
  <si>
    <t xml:space="preserve">Status
Projected</t>
  </si>
  <si>
    <t xml:space="preserve">Denzel Winterbeard</t>
  </si>
  <si>
    <t xml:space="preserve">FTE (Salaried)</t>
  </si>
  <si>
    <t xml:space="preserve">Hugo</t>
  </si>
  <si>
    <t xml:space="preserve">FTE (Salaried) — comm. on top from 07/08/26</t>
  </si>
  <si>
    <t xml:space="preserve">Beau Jolly</t>
  </si>
  <si>
    <t xml:space="preserve">Independent Contractor</t>
  </si>
  <si>
    <t xml:space="preserve">Joe</t>
  </si>
  <si>
    <t xml:space="preserve">Holly</t>
  </si>
  <si>
    <t xml:space="preserve">Independent Contractor (Marketing)</t>
  </si>
  <si>
    <t xml:space="preserve">FULL TEAM</t>
  </si>
  <si>
    <t xml:space="preserve">All 5 — aggregate</t>
  </si>
  <si>
    <t xml:space="preserve">Start Position = running-account balance at 20 Jul (from commission slips for FTEs; $0 for fresh starts). Blue cells = manual inputs.</t>
  </si>
  <si>
    <t xml:space="preserve">Current = Start + Earned.  Projected = Start + Earned + Pending.  Negative = still to earn back before SSA owes them.</t>
  </si>
  <si>
    <t xml:space="preserve">PIPELINE — Pending deals (Upcoming / In Progress) driving projected commission</t>
  </si>
  <si>
    <t xml:space="preserve">HubSpot pull 11/08/26. Only deals touching the 5 tracked people shown. Holly = cash-only formula. SON = Sales Order Number for Xero cross-reference.</t>
  </si>
  <si>
    <t xml:space="preserve">SON</t>
  </si>
  <si>
    <t xml:space="preserve">Deal Name</t>
  </si>
  <si>
    <t xml:space="preserve">Beneficiaries (of the 5)</t>
  </si>
  <si>
    <t xml:space="preserve">Commission each</t>
  </si>
  <si>
    <t xml:space="preserve">SSA023</t>
  </si>
  <si>
    <t xml:space="preserve">In Progress</t>
  </si>
  <si>
    <t xml:space="preserve">Henri Lago - 67 Amhurst Street Slade Point QLD 4740</t>
  </si>
  <si>
    <t xml:space="preserve">Home</t>
  </si>
  <si>
    <t xml:space="preserve">Joe: $2,382.69</t>
  </si>
  <si>
    <t xml:space="preserve">SSA037</t>
  </si>
  <si>
    <t xml:space="preserve">Dieter Steinman - 1 Yamashita Street Roebuck WA 6725</t>
  </si>
  <si>
    <t xml:space="preserve">Joe: $1,276.59; Beau Jolly: $1,276.59</t>
  </si>
  <si>
    <t xml:space="preserve">140526.DWB01</t>
  </si>
  <si>
    <t xml:space="preserve">Jenny Real - 37 Stratheden Street Kyogle NSW 2474</t>
  </si>
  <si>
    <t xml:space="preserve">Away</t>
  </si>
  <si>
    <t xml:space="preserve">Hugo: $153.70; Denzel Winterbeard: $153.70</t>
  </si>
  <si>
    <t xml:space="preserve">060526.DWB01</t>
  </si>
  <si>
    <t xml:space="preserve">Upcoming</t>
  </si>
  <si>
    <t xml:space="preserve">John Haig - 3 Oxley Street Tallimba NSW 2669</t>
  </si>
  <si>
    <t xml:space="preserve">Joe: $821.27; Holly: $471.78</t>
  </si>
  <si>
    <t xml:space="preserve">130726.JS01</t>
  </si>
  <si>
    <t xml:space="preserve">Zanthia &amp; Travis Peters - 2 Connors Lane Maclean NSW 2463</t>
  </si>
  <si>
    <t xml:space="preserve">Hugo: $582.97; Denzel Winterbeard: $582.97</t>
  </si>
  <si>
    <t xml:space="preserve">150626.DWB01</t>
  </si>
  <si>
    <t xml:space="preserve">Mark Wilson - 3 Mcrae Court Yarrawonga VIC 3730</t>
  </si>
  <si>
    <t xml:space="preserve">Denzel Winterbeard: $3,430.00</t>
  </si>
  <si>
    <t xml:space="preserve">210526.DWB02</t>
  </si>
  <si>
    <t xml:space="preserve">Ian &amp; Leonie Taylor - 4 White Street Guyra NSW 2365</t>
  </si>
  <si>
    <t xml:space="preserve">Hugo: $180.91; Joe: $180.91; Denzel Winterbeard: $180.91</t>
  </si>
  <si>
    <t xml:space="preserve">240726.HS01</t>
  </si>
  <si>
    <t xml:space="preserve">Lachlan and Kayla Cooper - 11 Major Mitchell Drive Gulmarrad NSW 2463</t>
  </si>
  <si>
    <t xml:space="preserve">Hugo: $0.00</t>
  </si>
  <si>
    <t xml:space="preserve">290626.JS01</t>
  </si>
  <si>
    <t xml:space="preserve">Theresa Williams - 11 Macadamia Circuit Bushland Beach QLD 4818</t>
  </si>
  <si>
    <t xml:space="preserve">Joe: $804.82; Holly: $489.75</t>
  </si>
  <si>
    <t xml:space="preserve">SSA042</t>
  </si>
  <si>
    <t xml:space="preserve">Stephen Yu - 14 Carnarvon Street Broome WA 6725</t>
  </si>
  <si>
    <t xml:space="preserve">Joe: $3,191.82; Holly: $1,794.18; Denzel Winterbeard: $1,595.91</t>
  </si>
  <si>
    <t xml:space="preserve">210726.JS01</t>
  </si>
  <si>
    <t xml:space="preserve">Dave Nolan - 6 Blick Drive Broome WA 6725</t>
  </si>
  <si>
    <t xml:space="preserve">Joe: $0.00</t>
  </si>
  <si>
    <t xml:space="preserve">SSA038</t>
  </si>
  <si>
    <t xml:space="preserve">Christopher Beveridge - 1 Slater Road Cable Beach WA 6726</t>
  </si>
  <si>
    <t xml:space="preserve">Joe: $2,394.09</t>
  </si>
  <si>
    <t xml:space="preserve">080526.JS01</t>
  </si>
  <si>
    <t xml:space="preserve">James &amp; Lorraine Best - 19 Donaldson Street Coraki NSW 2471</t>
  </si>
  <si>
    <t xml:space="preserve">Joe: $1,010.18</t>
  </si>
  <si>
    <t xml:space="preserve">TOTAL pending commission</t>
  </si>
  <si>
    <t xml:space="preserve">RETAINER LOG — from 20/07/26 reset</t>
  </si>
  <si>
    <t xml:space="preserve">FTE retainer $1,250/wk gross ($65k/yr). PAYG &amp; Super per Settings. Ongoing retainer ADDS to FTE deficit. Dashboard Start Position already includes retainer drawn up to 20/07/26.</t>
  </si>
  <si>
    <t xml:space="preserve">SETTINGS</t>
  </si>
  <si>
    <t xml:space="preserve">Weekly Retainer (gross)</t>
  </si>
  <si>
    <t xml:space="preserve">PAYG Withholding / week</t>
  </si>
  <si>
    <t xml:space="preserve">NZD → AUD Rate</t>
  </si>
  <si>
    <t xml:space="preserve">Super Rate</t>
  </si>
  <si>
    <t xml:space="preserve">Date</t>
  </si>
  <si>
    <t xml:space="preserve">Description</t>
  </si>
  <si>
    <t xml:space="preserve">Week</t>
  </si>
  <si>
    <t xml:space="preserve">Gross ($)</t>
  </si>
  <si>
    <t xml:space="preserve">PAYG Tax</t>
  </si>
  <si>
    <t xml:space="preserve">Net Paid ($)</t>
  </si>
  <si>
    <t xml:space="preserve">Super ($)</t>
  </si>
  <si>
    <t xml:space="preserve">Notes</t>
  </si>
  <si>
    <t xml:space="preserve">15/09/26</t>
  </si>
  <si>
    <t xml:space="preserve">Retainer – fortnightly (2 wks × $250)</t>
  </si>
  <si>
    <t xml:space="preserve">Fn 6</t>
  </si>
  <si>
    <t xml:space="preserve">—</t>
  </si>
  <si>
    <t xml:space="preserve">Independent contractor — no PAYG/super</t>
  </si>
  <si>
    <t xml:space="preserve">01/09/26</t>
  </si>
  <si>
    <t xml:space="preserve">Fn 5</t>
  </si>
  <si>
    <t xml:space="preserve">18/08/26</t>
  </si>
  <si>
    <t xml:space="preserve">Fn 4</t>
  </si>
  <si>
    <t xml:space="preserve">04/08/26</t>
  </si>
  <si>
    <t xml:space="preserve">Fn 3</t>
  </si>
  <si>
    <t xml:space="preserve">21/07/26</t>
  </si>
  <si>
    <t xml:space="preserve">Fn 2</t>
  </si>
  <si>
    <t xml:space="preserve">07/07/26</t>
  </si>
  <si>
    <t xml:space="preserve">Fn 1</t>
  </si>
  <si>
    <t xml:space="preserve">— Meta ad spend · source: Cesca Studio Ad Spend Report (AU acct 885732170587122) —</t>
  </si>
  <si>
    <t xml:space="preserve">23/07/26</t>
  </si>
  <si>
    <t xml:space="preserve">Meta ad spend — wk Fri 17–Thu 23 Jul</t>
  </si>
  <si>
    <t xml:space="preserve">Ad</t>
  </si>
  <si>
    <t xml:space="preserve">Cesca report · incl. 17–19 Jul pre-reset (~$182)</t>
  </si>
  <si>
    <t xml:space="preserve">30/07/26</t>
  </si>
  <si>
    <t xml:space="preserve">Meta ad spend — wk Fri 24–Thu 30 Jul</t>
  </si>
  <si>
    <t xml:space="preserve">Cesca report</t>
  </si>
  <si>
    <t xml:space="preserve">06/08/26</t>
  </si>
  <si>
    <t xml:space="preserve">Meta ad spend — wk Fri 31 Jul–Thu 6 Aug</t>
  </si>
  <si>
    <t xml:space="preserve">07/08/26</t>
  </si>
  <si>
    <t xml:space="preserve">Meta ad spend — Fri 7 Aug (partial)</t>
  </si>
  <si>
    <t xml:space="preserve">10/08/26</t>
  </si>
  <si>
    <t xml:space="preserve">Meta ad spend — billing period from 08/08</t>
  </si>
  <si>
    <t xml:space="preserve">Meta receipt · beyond report window</t>
  </si>
  <si>
    <t xml:space="preserve">Holly retainer (6 × $500):</t>
  </si>
  <si>
    <t xml:space="preserve">Meta ad spend:</t>
  </si>
  <si>
    <t xml:space="preserve">TOTAL drawn against Holly:</t>
  </si>
  <si>
    <t xml:space="preserve">SOURCE OF TRUTH: Cesca Studio Ad Spend Report (Meta Ads Manager), 17/07–07/08/26 = A$1,630.02. Gmail receipts for the same window totalled $1,639.00 (11 × $149) — variance $8.98, threshold timing. Receipts arrive duplicated; dedupe on transaction ID.</t>
  </si>
  <si>
    <t xml:space="preserve">Axis Social (A$2,200, 30/07) is NOT Meta-related — excluded permanently.</t>
  </si>
  <si>
    <t xml:space="preserve">HISTORIC DEALS LOG — all installed deals since 09/25</t>
  </si>
  <si>
    <t xml:space="preserve">HubSpot pull 11/08/26. SON = Sales Order Number for Xero cross-reference.</t>
  </si>
  <si>
    <t xml:space="preserve">TOTAL INSTALLED VALUE</t>
  </si>
  <si>
    <t xml:space="preserve">TOTAL COMMISSION</t>
  </si>
  <si>
    <t xml:space="preserve">DEALS LOGGED</t>
  </si>
  <si>
    <t xml:space="preserve">FLAGGED ROWS</t>
  </si>
  <si>
    <t xml:space="preserve">⚠ ESTIMATE UP TO 20/07/26 — Figures before the 20/07/26 reset are reconstructed from HubSpot. 4 rows flagged below have no deal value or no attribution recorded. All install dates are now populated. Commission shown is EARNED/OWED ON INSTALL, not cash paid. Treat pre-reset totals as an estimate for cross-referencing, not a settled ledger.</t>
  </si>
  <si>
    <t xml:space="preserve">Deal</t>
  </si>
  <si>
    <t xml:space="preserve">Installed</t>
  </si>
  <si>
    <t xml:space="preserve">Lead Gen</t>
  </si>
  <si>
    <t xml:space="preserve">Specialist</t>
  </si>
  <si>
    <t xml:space="preserve">Deal Value</t>
  </si>
  <si>
    <t xml:space="preserve">Commission</t>
  </si>
  <si>
    <t xml:space="preserve">Flag</t>
  </si>
  <si>
    <t xml:space="preserve">250626.DWB01</t>
  </si>
  <si>
    <t xml:space="preserve">Brenda Walker - 6 Jubilee Street Maclean NSW 2463</t>
  </si>
  <si>
    <t xml:space="preserve">230426.JS02</t>
  </si>
  <si>
    <t xml:space="preserve">Amanda Bernauer - 20 Inverell Road Warialda NSW 2402</t>
  </si>
  <si>
    <t xml:space="preserve">25/07/26</t>
  </si>
  <si>
    <t xml:space="preserve">Denzel Winterbeard; Cian Jefferson; Mark Isaac; Max Bradfield; Hugo</t>
  </si>
  <si>
    <t xml:space="preserve">240526.JS01</t>
  </si>
  <si>
    <t xml:space="preserve">Connie Minos - 1349 Bonshaw Road Ashford NSW 2361</t>
  </si>
  <si>
    <t xml:space="preserve">24/07/26</t>
  </si>
  <si>
    <t xml:space="preserve">Rosa; Hugo; Max Bradfield; Denzel Winterbeard; Cian Jefferson; Simon; Hannah; Joe</t>
  </si>
  <si>
    <t xml:space="preserve">Joe; Denzel Winterbeard; Cian Jefferson; Max Bradfield; Hugo; Rosa; Dermot; Fran</t>
  </si>
  <si>
    <t xml:space="preserve">130726.HS01</t>
  </si>
  <si>
    <t xml:space="preserve">Jane Armitage - 8/18 Gwydir Terrace Bingara NSW 2404</t>
  </si>
  <si>
    <t xml:space="preserve">170626.DWB01</t>
  </si>
  <si>
    <t xml:space="preserve">Paul &amp; Judy Couley - 92 Boundary Street Wee Waa NSW 2388</t>
  </si>
  <si>
    <t xml:space="preserve">Hugo; Mark Isaac; Max Bradfield; Cian Jefferson; Denzel Winterbeard</t>
  </si>
  <si>
    <t xml:space="preserve">Denzel Winterbeard; Cian Jefferson; Hugo; Max Bradfield; Mark Isaac</t>
  </si>
  <si>
    <t xml:space="preserve">190626.DWB03</t>
  </si>
  <si>
    <t xml:space="preserve">Jennifer Baker - 106 Alma Street Wee Waa NSW 2388</t>
  </si>
  <si>
    <t xml:space="preserve">Denzel Winterbeard; Cian Jefferson; Max Bradfield; Hugo; Mark Isaac</t>
  </si>
  <si>
    <t xml:space="preserve">180526.DWB02</t>
  </si>
  <si>
    <t xml:space="preserve">Christine &amp; Peter Broderick - 24 Frazer Street Ashford NSW 2361</t>
  </si>
  <si>
    <t xml:space="preserve">22/07/26</t>
  </si>
  <si>
    <t xml:space="preserve">Simon; Denzel Winterbeard; Cian Jefferson; Max Bradfield; Hugo; Rosa</t>
  </si>
  <si>
    <t xml:space="preserve">Denzel Winterbeard; Cian Jefferson; Max Bradfield; Hugo; Fran; Dermot; Rosa</t>
  </si>
  <si>
    <t xml:space="preserve">190626.DWB01</t>
  </si>
  <si>
    <t xml:space="preserve">Katie Young - 66 Dangar Street Narrabri NSW 2390</t>
  </si>
  <si>
    <t xml:space="preserve">Cian Jefferson; Denzel Winterbeard; Max Bradfield; Hugo; Mark Isaac</t>
  </si>
  <si>
    <t xml:space="preserve">120626.JS01</t>
  </si>
  <si>
    <t xml:space="preserve">Rebecca Hudson - 93 Main Street Clunes NSW 2480</t>
  </si>
  <si>
    <t xml:space="preserve">14/07/26</t>
  </si>
  <si>
    <t xml:space="preserve">Cian Jefferson; Hugo</t>
  </si>
  <si>
    <t xml:space="preserve">Joe; Denzel Winterbeard</t>
  </si>
  <si>
    <t xml:space="preserve">SSA039</t>
  </si>
  <si>
    <t xml:space="preserve">Cristopher Iquin - 5 Euro Way Djugun WA 6725</t>
  </si>
  <si>
    <t xml:space="preserve">13/07/26</t>
  </si>
  <si>
    <t xml:space="preserve">Holly; Joe</t>
  </si>
  <si>
    <t xml:space="preserve">100626.JS01</t>
  </si>
  <si>
    <t xml:space="preserve">Georgina Kelly - 21 Puertollano Place Broome WA 6725</t>
  </si>
  <si>
    <t xml:space="preserve">10/07/26</t>
  </si>
  <si>
    <t xml:space="preserve">Cian Jefferson</t>
  </si>
  <si>
    <t xml:space="preserve">230526.DWB02</t>
  </si>
  <si>
    <t xml:space="preserve">Barry O'Farrell - 45 Frazer Street Ashford NSW 2361</t>
  </si>
  <si>
    <t xml:space="preserve">190526.DWB04</t>
  </si>
  <si>
    <t xml:space="preserve">Beverly &amp; Graeme Voss - 3 David Street Ashford NSW 2361</t>
  </si>
  <si>
    <t xml:space="preserve">06/07/26</t>
  </si>
  <si>
    <t xml:space="preserve">Rosa</t>
  </si>
  <si>
    <t xml:space="preserve">Craig Robinson- 14 Cedar Street Woodburn NSW 2472</t>
  </si>
  <si>
    <t xml:space="preserve">Harley</t>
  </si>
  <si>
    <t xml:space="preserve">070426.DWB01</t>
  </si>
  <si>
    <t xml:space="preserve">Terry Moore - 6 Bank Street Woodburn NSW 2472</t>
  </si>
  <si>
    <t xml:space="preserve">03/07/26</t>
  </si>
  <si>
    <t xml:space="preserve">Simon</t>
  </si>
  <si>
    <t xml:space="preserve">no value</t>
  </si>
  <si>
    <t xml:space="preserve">130526.JS01</t>
  </si>
  <si>
    <t xml:space="preserve">Daryl Boyd - 48 Martyn Street Ashford NSW 2361</t>
  </si>
  <si>
    <t xml:space="preserve">Denzel Winterbeard; Cian Jefferson; Max Bradfield; Hugo; Mark Isaac; Joe</t>
  </si>
  <si>
    <t xml:space="preserve">Cian Jefferson; Denzel Winterbeard; Max Bradfield; Hugo; Mark Isaac; Joe</t>
  </si>
  <si>
    <t xml:space="preserve">070526.DWB02</t>
  </si>
  <si>
    <t xml:space="preserve">Rosalee and Greg Foran- 2 Bank Street Woodburn NSW 2471</t>
  </si>
  <si>
    <t xml:space="preserve">02/07/26</t>
  </si>
  <si>
    <t xml:space="preserve">100626.JS02</t>
  </si>
  <si>
    <t xml:space="preserve">Lee Achurch - 11 Myall Street Evans Head NSW 2473</t>
  </si>
  <si>
    <t xml:space="preserve">01/07/26</t>
  </si>
  <si>
    <t xml:space="preserve">260526.DWB02</t>
  </si>
  <si>
    <t xml:space="preserve">Adrian Currell - 37 Cameron Street Maclean NSW 2463</t>
  </si>
  <si>
    <t xml:space="preserve">26/06/26</t>
  </si>
  <si>
    <t xml:space="preserve">160526.DWB01</t>
  </si>
  <si>
    <t xml:space="preserve">Christopher Hutton - 31 Boorabee Street Kyogle NSW 2474</t>
  </si>
  <si>
    <t xml:space="preserve">24/06/26</t>
  </si>
  <si>
    <t xml:space="preserve">Hugo; Max Bradfield</t>
  </si>
  <si>
    <t xml:space="preserve">SSA040</t>
  </si>
  <si>
    <t xml:space="preserve">Don Wood - 11 Pembroke Road Broome WA 6725</t>
  </si>
  <si>
    <t xml:space="preserve">18/06/26</t>
  </si>
  <si>
    <t xml:space="preserve">SSA043</t>
  </si>
  <si>
    <t xml:space="preserve">Ian Mcgrath - 6 Rivergum Avenue Broome WA 6725</t>
  </si>
  <si>
    <t xml:space="preserve">17/06/26</t>
  </si>
  <si>
    <t xml:space="preserve">SSA056</t>
  </si>
  <si>
    <t xml:space="preserve">Mick Prokopiwskyi - 9 McMillan Court Newborough VIC 3825</t>
  </si>
  <si>
    <t xml:space="preserve">15/06/26</t>
  </si>
  <si>
    <t xml:space="preserve">SSA041</t>
  </si>
  <si>
    <t xml:space="preserve">Allan Marks - 27 Hay Road Cable Beach WA 6726</t>
  </si>
  <si>
    <t xml:space="preserve">12/06/26</t>
  </si>
  <si>
    <t xml:space="preserve">SSA057</t>
  </si>
  <si>
    <t xml:space="preserve">Tom Jolly - 11 Ness Street Diamond Creek VIC 3089</t>
  </si>
  <si>
    <t xml:space="preserve">10/06/26</t>
  </si>
  <si>
    <t xml:space="preserve">180526.JS01</t>
  </si>
  <si>
    <t xml:space="preserve">Dee &amp; Steve Mansfield - 206 Summerland Way Kyogle NSW 2474</t>
  </si>
  <si>
    <t xml:space="preserve">03/06/26</t>
  </si>
  <si>
    <t xml:space="preserve">Dee &amp; Steve Mansfield - 6 Rosewood Place Kyogle NSW 2474</t>
  </si>
  <si>
    <t xml:space="preserve">02/06/26</t>
  </si>
  <si>
    <t xml:space="preserve">no attribution</t>
  </si>
  <si>
    <t xml:space="preserve">SSA032</t>
  </si>
  <si>
    <t xml:space="preserve">Damien Woodmansey - 126-128 Hoddle Street Howlong NSW 2643</t>
  </si>
  <si>
    <t xml:space="preserve">31/05/26</t>
  </si>
  <si>
    <t xml:space="preserve">250426.DWB01</t>
  </si>
  <si>
    <t xml:space="preserve">Summer Stewart - 1 Gleno Street Delungra NSW 2403</t>
  </si>
  <si>
    <t xml:space="preserve">23/05/26</t>
  </si>
  <si>
    <t xml:space="preserve">Cian Jefferson; Max Bradfield; Hugo; Denzel Winterbeard; Mark Isaac</t>
  </si>
  <si>
    <t xml:space="preserve">Summer Stewart - 3-5 Gleno Street Delungra NSW 2403</t>
  </si>
  <si>
    <t xml:space="preserve">Cian Jefferson; Hugo; Max Bradfield; Mark Isaac; Denzel Winterbeard</t>
  </si>
  <si>
    <t xml:space="preserve">230426.DWB01</t>
  </si>
  <si>
    <t xml:space="preserve">Vicki Davis - 36 Burnett Street Delungra NSW 2403</t>
  </si>
  <si>
    <t xml:space="preserve">Hugo; Denzel Winterbeard; Cian Jefferson; Max Bradfield; Mark Isaac</t>
  </si>
  <si>
    <t xml:space="preserve">230426.JS01</t>
  </si>
  <si>
    <t xml:space="preserve">Felicity Menchin - 28 Inverell Street Delungra NSW 2403</t>
  </si>
  <si>
    <t xml:space="preserve">22/05/26</t>
  </si>
  <si>
    <t xml:space="preserve">Denzel Winterbeard; Max Bradfield; Hugo; Cian Jefferson; Mark Isaac</t>
  </si>
  <si>
    <t xml:space="preserve">040526.DWB03</t>
  </si>
  <si>
    <t xml:space="preserve">Richard Gray - 10 Cross Street Warialda NSW 2402</t>
  </si>
  <si>
    <t xml:space="preserve">21/05/26</t>
  </si>
  <si>
    <t xml:space="preserve">Hugo; Max Bradfield; Cian Jefferson; Mark Isaac; Denzel Winterbeard</t>
  </si>
  <si>
    <t xml:space="preserve">260426.DWB02</t>
  </si>
  <si>
    <t xml:space="preserve">Peter Hancock - 105 High Street Warialda NSW 2402</t>
  </si>
  <si>
    <t xml:space="preserve">210426.DWB02</t>
  </si>
  <si>
    <t xml:space="preserve">Serena Kash - 23 Crane Street Warialda NSW 2402</t>
  </si>
  <si>
    <t xml:space="preserve">20/05/26</t>
  </si>
  <si>
    <t xml:space="preserve">Denzel Winterbeard; Cian Jefferson; Max Bradfield; Mark Isaac; Hugo</t>
  </si>
  <si>
    <t xml:space="preserve">SSA034</t>
  </si>
  <si>
    <t xml:space="preserve">Amy Wong - 10 O'Connor Street Eastlakes NSW 2018</t>
  </si>
  <si>
    <t xml:space="preserve">19/05/26</t>
  </si>
  <si>
    <t xml:space="preserve">SSA019</t>
  </si>
  <si>
    <t xml:space="preserve">Rob Matta - 109 Brighton Street Croydon Park NSW 2133</t>
  </si>
  <si>
    <t xml:space="preserve">08/05/26</t>
  </si>
  <si>
    <t xml:space="preserve">SSA030</t>
  </si>
  <si>
    <t xml:space="preserve">Allen Paskins - 11 Heathwood Court Hampden QLD 4741</t>
  </si>
  <si>
    <t xml:space="preserve">Joe; Denzel Winterbeard; Cian Jefferson; Simon; Max Bradfield</t>
  </si>
  <si>
    <t xml:space="preserve">Joe; Simon; Denzel Winterbeard; Cian Jefferson; Max Bradfield</t>
  </si>
  <si>
    <t xml:space="preserve">SSA031</t>
  </si>
  <si>
    <t xml:space="preserve">Richard Campbell - 100 Dunwold-Cattle Creek Road Gargett QLD 4741</t>
  </si>
  <si>
    <t xml:space="preserve">07/05/26</t>
  </si>
  <si>
    <t xml:space="preserve">SSA055</t>
  </si>
  <si>
    <t xml:space="preserve">Rosemary Arnold - 38 Holden Street Warialda NSW 2402</t>
  </si>
  <si>
    <t xml:space="preserve">25/04/26</t>
  </si>
  <si>
    <t xml:space="preserve">Denzel Winterbeard; Harley; Max Bradfield; Cian Jefferson</t>
  </si>
  <si>
    <t xml:space="preserve">Denzel Winterbeard; Max Bradfield; Harley; Cian Jefferson</t>
  </si>
  <si>
    <t xml:space="preserve">SSA052</t>
  </si>
  <si>
    <t xml:space="preserve">Anne Moore - 93 Stephen Street Warialda NSW 2402</t>
  </si>
  <si>
    <t xml:space="preserve">200426.DWB01</t>
  </si>
  <si>
    <t xml:space="preserve">Dianne Burke - 91 Cunningham Street Bingara NSW 2404</t>
  </si>
  <si>
    <t xml:space="preserve">24/04/26</t>
  </si>
  <si>
    <t xml:space="preserve">Denzel Winterbeard; Max Bradfield; Cian Jefferson; Hugo</t>
  </si>
  <si>
    <t xml:space="preserve">Denzel Winterbeard; Cian Jefferson; Max Bradfield; Hugo</t>
  </si>
  <si>
    <t xml:space="preserve">SSA053</t>
  </si>
  <si>
    <t xml:space="preserve">Annette Towers - 2 Finch Street Bingara NSW 2404</t>
  </si>
  <si>
    <t xml:space="preserve">SSA054</t>
  </si>
  <si>
    <t xml:space="preserve">Adrian Dick - 36 Keera Street Bingara NSW 2404</t>
  </si>
  <si>
    <t xml:space="preserve">23/04/26</t>
  </si>
  <si>
    <t xml:space="preserve">SSA051</t>
  </si>
  <si>
    <t xml:space="preserve">Andy Callaway - 69 Maitland Street Bingara NSW 2404</t>
  </si>
  <si>
    <t xml:space="preserve">SSA036</t>
  </si>
  <si>
    <t xml:space="preserve">Scott Mooney - 17 Philip Street South Golden Beach NSW 2483</t>
  </si>
  <si>
    <t xml:space="preserve">17/04/26</t>
  </si>
  <si>
    <t xml:space="preserve">SSA035</t>
  </si>
  <si>
    <t xml:space="preserve">John Tooler - 8 Tranquil Place Alstonville NSW 2477</t>
  </si>
  <si>
    <t xml:space="preserve">15/04/26</t>
  </si>
  <si>
    <t xml:space="preserve">SSA026</t>
  </si>
  <si>
    <t xml:space="preserve">Gibb French - 34 Alan Street Marian QLD 4753</t>
  </si>
  <si>
    <t xml:space="preserve">12/04/26</t>
  </si>
  <si>
    <t xml:space="preserve">SSA024</t>
  </si>
  <si>
    <t xml:space="preserve">Dean Boland - 16 Blackmur Street Marian QLD 4753</t>
  </si>
  <si>
    <t xml:space="preserve">11/04/26</t>
  </si>
  <si>
    <t xml:space="preserve">SSA028</t>
  </si>
  <si>
    <t xml:space="preserve">Bernie Shields - 9 Coral Drive Blacks Beach QLD 4740</t>
  </si>
  <si>
    <t xml:space="preserve">SSA025</t>
  </si>
  <si>
    <t xml:space="preserve">Peter Schaper - 22 Elizabeth Street Mirani QLD 4754</t>
  </si>
  <si>
    <t xml:space="preserve">10/04/26</t>
  </si>
  <si>
    <t xml:space="preserve">SSA027</t>
  </si>
  <si>
    <t xml:space="preserve">Vincent Reeves - 5 Lucy Court Mirani QLD 4754</t>
  </si>
  <si>
    <t xml:space="preserve">SSA029</t>
  </si>
  <si>
    <t xml:space="preserve">Danielle Campbell - 11 Vesta Lane Ooralea QLD 4740</t>
  </si>
  <si>
    <t xml:space="preserve">08/04/26</t>
  </si>
  <si>
    <t xml:space="preserve">SSA018</t>
  </si>
  <si>
    <t xml:space="preserve">Marion Priestly - 31 Adams Street Heddon Greta NSW 2321</t>
  </si>
  <si>
    <t xml:space="preserve">07/04/26</t>
  </si>
  <si>
    <t xml:space="preserve">SSA022</t>
  </si>
  <si>
    <t xml:space="preserve">Murray Heath - Unit 5 - 11 Prospect Street Mackay QLD 4740</t>
  </si>
  <si>
    <t xml:space="preserve">30/03/26</t>
  </si>
  <si>
    <t xml:space="preserve">SSA049</t>
  </si>
  <si>
    <t xml:space="preserve">1 Bob &amp; Lawson Muir - 1516 Delungra Road Bingara NSW 2404</t>
  </si>
  <si>
    <t xml:space="preserve">27/03/26</t>
  </si>
  <si>
    <t xml:space="preserve">SSA050</t>
  </si>
  <si>
    <t xml:space="preserve">2 Bob &amp; Lawson Muir - 1787 Delubngra Road Bingara NSW 2404</t>
  </si>
  <si>
    <t xml:space="preserve">26/03/26</t>
  </si>
  <si>
    <t xml:space="preserve">SSA044</t>
  </si>
  <si>
    <t xml:space="preserve">Maria E Kelly - 2529 Pyramids Road Wyberba QLD 4382</t>
  </si>
  <si>
    <t xml:space="preserve">19/03/26</t>
  </si>
  <si>
    <t xml:space="preserve">Denzel Winterbeard; Cian Jefferson; Joe</t>
  </si>
  <si>
    <t xml:space="preserve">Joe; Denzel Winterbeard; Cian Jefferson</t>
  </si>
  <si>
    <t xml:space="preserve">SSA033</t>
  </si>
  <si>
    <t xml:space="preserve">Peter Rallings - 122 Eyles Drive East Ballina NSW 2478</t>
  </si>
  <si>
    <t xml:space="preserve">24/02/26</t>
  </si>
  <si>
    <t xml:space="preserve">SSA016</t>
  </si>
  <si>
    <t xml:space="preserve">Mark Cummins - 9 Waipori Street St Ives Chase NSW 2075</t>
  </si>
  <si>
    <t xml:space="preserve">20/02/26</t>
  </si>
  <si>
    <t xml:space="preserve">SSA017</t>
  </si>
  <si>
    <t xml:space="preserve">Edward Watt - 41 Milburn Place St Ives Chase NSW 2075</t>
  </si>
  <si>
    <t xml:space="preserve">19/02/26</t>
  </si>
  <si>
    <t xml:space="preserve">SSA007</t>
  </si>
  <si>
    <t xml:space="preserve">Larry Grant - 77 Cecil Road Orange NSW 2800</t>
  </si>
  <si>
    <t xml:space="preserve">15/02/26</t>
  </si>
  <si>
    <t xml:space="preserve">SSA020</t>
  </si>
  <si>
    <t xml:space="preserve">Tony Tedesco - 7 Wasley Road Wasleys SA 5400</t>
  </si>
  <si>
    <t xml:space="preserve">02/02/26</t>
  </si>
  <si>
    <t xml:space="preserve">SSA015</t>
  </si>
  <si>
    <t xml:space="preserve">Ray Schriever - 32 Bungama Street Maroochydore QLD 4558</t>
  </si>
  <si>
    <t xml:space="preserve">28/01/26</t>
  </si>
  <si>
    <t xml:space="preserve">SSA045</t>
  </si>
  <si>
    <t xml:space="preserve">Glenda Eyears - 4 Wood Street Tenterfield NSW 2372</t>
  </si>
  <si>
    <t xml:space="preserve">27/01/26</t>
  </si>
  <si>
    <t xml:space="preserve">SSA048</t>
  </si>
  <si>
    <t xml:space="preserve">Dale Baldock - 85 Finch Street Bingara NSW 2404</t>
  </si>
  <si>
    <t xml:space="preserve">19/01/26</t>
  </si>
  <si>
    <t xml:space="preserve">SSA047</t>
  </si>
  <si>
    <t xml:space="preserve">Sandra de Jong - 9 White Street Bingara NSW 2404</t>
  </si>
  <si>
    <t xml:space="preserve">SSA046</t>
  </si>
  <si>
    <t xml:space="preserve">Eddie Scofield &amp; Liz Mitchelson - 7674 Bruxner Highway Drake NSW 2469</t>
  </si>
  <si>
    <t xml:space="preserve">15/01/26</t>
  </si>
  <si>
    <t xml:space="preserve">SSA002</t>
  </si>
  <si>
    <t xml:space="preserve">Cecilia Curtis - 10 Sinclair Street Kambah ACT 2902</t>
  </si>
  <si>
    <t xml:space="preserve">15/12/25</t>
  </si>
  <si>
    <t xml:space="preserve">SSA001</t>
  </si>
  <si>
    <t xml:space="preserve">Judy Mannix - 68 Clanwilliam Street Blackheath NSW 2785</t>
  </si>
  <si>
    <t xml:space="preserve">SSA009</t>
  </si>
  <si>
    <t xml:space="preserve">Trevor Haskins - 77 Lambeth Street Glen Innes NSW 2370</t>
  </si>
  <si>
    <t xml:space="preserve">05/12/25</t>
  </si>
  <si>
    <t xml:space="preserve">SSA005</t>
  </si>
  <si>
    <t xml:space="preserve">Mark Olley - 7 Dixon Place Jerrabomberra NSW 2619</t>
  </si>
  <si>
    <t xml:space="preserve">01/12/25</t>
  </si>
  <si>
    <t xml:space="preserve">SSA008</t>
  </si>
  <si>
    <t xml:space="preserve">James Satrapa -</t>
  </si>
  <si>
    <t xml:space="preserve">25/11/25</t>
  </si>
  <si>
    <t xml:space="preserve">SSA006</t>
  </si>
  <si>
    <t xml:space="preserve">David Middleton - 35 Cooya Beach Road Bonnie Doon QLD 4873</t>
  </si>
  <si>
    <t xml:space="preserve">14/11/25</t>
  </si>
  <si>
    <t xml:space="preserve">SSA004</t>
  </si>
  <si>
    <t xml:space="preserve">Benjamin Hart - 46 Grimshaw Street Richardson ACT 2905</t>
  </si>
  <si>
    <t xml:space="preserve">21/10/25</t>
  </si>
  <si>
    <t xml:space="preserve">SSA003</t>
  </si>
  <si>
    <t xml:space="preserve">Robert Fitz - 46 Churchill Avenue Orange NSW 2800</t>
  </si>
  <si>
    <t xml:space="preserve">16/10/25</t>
  </si>
  <si>
    <t xml:space="preserve">TOTAL</t>
  </si>
  <si>
    <t xml:space="preserve">4 rows flagged</t>
  </si>
  <si>
    <t xml:space="preserve">SSA COMMISSION TRACKER — RESET (20 JULY 2026)</t>
  </si>
  <si>
    <t xml:space="preserve">PURPOSE</t>
  </si>
  <si>
    <t xml:space="preserve">  Fresh-start commission tracker. All positions reset to a 20/07/26 baseline.</t>
  </si>
  <si>
    <t xml:space="preserve">  Commission counts from 20/07/26 forward only. Pre-20-Jul history is NOT shown —</t>
  </si>
  <si>
    <t xml:space="preserve">  it is baked into each person's Start Position.</t>
  </si>
  <si>
    <t xml:space="preserve">PEOPLE (5)</t>
  </si>
  <si>
    <t xml:space="preserve">  Denzel Winterbeard — FTE. Start -$4,789.06 (from 20/07/26 commission slip).</t>
  </si>
  <si>
    <t xml:space="preserve">  Hugo — FTE (reclassified from contractor). Start -$7,730.41 (from slip).</t>
  </si>
  <si>
    <t xml:space="preserve">  Beau Jolly — Contractor, commission-only. Start $0.</t>
  </si>
  <si>
    <t xml:space="preserve">  Joe — FTE (Salaried). Start $0.</t>
  </si>
  <si>
    <t xml:space="preserve">  Holly — Contractor (Marketing). Start $0. Cash-only formula.</t>
  </si>
  <si>
    <t xml:space="preserve">STARTING POSITIONS</t>
  </si>
  <si>
    <t xml:space="preserve">  FTE deficits are shown as a DEBT TO EARN BACK (not floored at zero).</t>
  </si>
  <si>
    <t xml:space="preserve">  This is a management decision for this tracker. NOTE: the prior design flagged</t>
  </si>
  <si>
    <t xml:space="preserve">  'never show an employee a debt' as a Fair Work / wage-clawback review item —</t>
  </si>
  <si>
    <t xml:space="preserve">  displaying FTE debt here is a conscious override, not an oversight.</t>
  </si>
  <si>
    <t xml:space="preserve">HOW POSITIONS MOVE</t>
  </si>
  <si>
    <t xml:space="preserve">  Current  = Start + Commission Earned (deals installed on/after 20/07/26).</t>
  </si>
  <si>
    <t xml:space="preserve">  Projected = Start + Earned + Commission Pending (current pipeline).</t>
  </si>
  <si>
    <t xml:space="preserve">  FTEs: ongoing $1,250/wk gross retainer ADDS to the deficit each week —</t>
  </si>
  <si>
    <t xml:space="preserve">        log weekly draws in the Retainer Log so the line moves.</t>
  </si>
  <si>
    <t xml:space="preserve">  Negative = still to earn back before SSA owes them.</t>
  </si>
  <si>
    <t xml:space="preserve">COMMISSION RULES</t>
  </si>
  <si>
    <t xml:space="preserve">  Base = Total/1.1 (ex-GST). Total = Cash + Rebate.</t>
  </si>
  <si>
    <t xml:space="preserve">  Away (3+ field reps): 10% pool / headcount.</t>
  </si>
  <si>
    <t xml:space="preserve">  Home (&lt;3): 5% per role (LG, Specialist separate).</t>
  </si>
  <si>
    <t xml:space="preserve">  Holly: Cash/1.1 x 0.8 x 5% — CASH ONLY, rebate excluded.</t>
  </si>
  <si>
    <t xml:space="preserve">META AD SPEND (reference only — NOT logged in this reset tracker)</t>
  </si>
  <si>
    <t xml:space="preserve">  June spend predates the 20/07/26 line, so it is out of scope here.</t>
  </si>
  <si>
    <t xml:space="preserve">  NZD converts at 0.8284; AUD kept as AUD. For reference:</t>
  </si>
  <si>
    <t xml:space="preserve">   19-25 Jun: A$967.00   |   27 Jun-3 Jul: A$990.53   (12-18 Jun already in old tracker)</t>
  </si>
  <si>
    <t xml:space="preserve">STATE AT BUILD (28/07/26)</t>
  </si>
  <si>
    <t xml:space="preserve">  Earned (post-20-Jul installs): $0 for all — nothing has installed since the line yet.</t>
  </si>
  <si>
    <t xml:space="preserve">  Pending pipeline: Joe $12,314.79, Denzel $8,886.42, Hugo $4,519.56,</t>
  </si>
  <si>
    <t xml:space="preserve">                    Holly $3,716.77, Beau $1,276.59.</t>
  </si>
  <si>
    <t xml:space="preserve">OPEN / TO CONFIRM WITH SCOTT</t>
  </si>
  <si>
    <t xml:space="preserve">  - FTE debt display vs Fair Work floor rule (proceeding as instructed).</t>
  </si>
  <si>
    <t xml:space="preserve">  - Hugo FTE reclassification (applied per instruction).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</si>
</sst>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"/>
    <numFmt numFmtId="167" formatCode="\$#,##0.00;&quot;($&quot;#,##0.00\);\-"/>
    <numFmt numFmtId="168" formatCode="\$#,##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A2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F7A75"/>
      <name val="Consolas"/>
      <family val="0"/>
      <charset val="1"/>
    </font>
    <font>
      <b val="true"/>
      <sz val="11"/>
      <color rgb="FF0F7A75"/>
      <name val="Arial"/>
      <family val="0"/>
      <charset val="1"/>
    </font>
    <font>
      <sz val="8"/>
      <color rgb="FF64748B"/>
      <name val="Consolas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2"/>
      <color rgb="FF0F7A75"/>
      <name val="Arial"/>
      <family val="0"/>
      <charset val="1"/>
    </font>
    <font>
      <sz val="9"/>
      <color rgb="FF92400E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F1A2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A2E"/>
        <bgColor rgb="FF000000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F8FAFC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75"/>
      <rgbColor rgb="FFC0C0C0"/>
      <rgbColor rgb="FF808080"/>
      <rgbColor rgb="FF9999FF"/>
      <rgbColor rgb="FF993366"/>
      <rgbColor rgb="FFFEF3C7"/>
      <rgbColor rgb="FFF1F5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A2E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5" min="3" style="1" width="14"/>
    <col collapsed="false" customWidth="true" hidden="false" outlineLevel="0" max="6" min="6" style="1" width="17"/>
    <col collapsed="false" customWidth="true" hidden="false" outlineLevel="0" max="8" min="7" style="1" width="14"/>
    <col collapsed="false" customWidth="true" hidden="false" outlineLevel="0" max="9" min="9" style="1" width="17"/>
  </cols>
  <sheetData>
    <row r="1" customFormat="false" ht="17.25" hidden="false" customHeight="tru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</row>
    <row r="4" customFormat="false" ht="34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6" t="n">
        <v>-4789.06</v>
      </c>
      <c r="D5" s="7" t="n">
        <v>0</v>
      </c>
      <c r="E5" s="7" t="n">
        <v>3338.7</v>
      </c>
      <c r="F5" s="7" t="n">
        <f aca="false">C5+E5-D5</f>
        <v>-1450.36</v>
      </c>
      <c r="G5" s="5" t="str">
        <f aca="false">IF(F5&gt;=0,"✅ SSA OWES","⛔ TO EARN BACK")</f>
        <v>⛔ TO EARN BACK</v>
      </c>
      <c r="H5" s="7" t="n">
        <v>5943.48</v>
      </c>
      <c r="I5" s="7" t="n">
        <f aca="false">C5+E5+H5-D5</f>
        <v>4493.12</v>
      </c>
      <c r="J5" s="5" t="str">
        <f aca="false">IF(I5&gt;=0,"✅ SSA OWES","⛔ TO EARN BACK")</f>
        <v>✅ SSA OWES</v>
      </c>
    </row>
    <row r="6" customFormat="false" ht="15" hidden="false" customHeight="true" outlineLevel="0" collapsed="false">
      <c r="A6" s="5" t="s">
        <v>14</v>
      </c>
      <c r="B6" s="5" t="s">
        <v>15</v>
      </c>
      <c r="C6" s="6" t="n">
        <v>-7730.41</v>
      </c>
      <c r="D6" s="7" t="n">
        <v>0</v>
      </c>
      <c r="E6" s="7" t="n">
        <v>3554.56</v>
      </c>
      <c r="F6" s="8" t="n">
        <v>-4175.85</v>
      </c>
      <c r="G6" s="5" t="str">
        <f aca="false">IF(F6&gt;=0,"✅ SSA OWES","⛔ TO EARN BACK")</f>
        <v>⛔ TO EARN BACK</v>
      </c>
      <c r="H6" s="7" t="n">
        <v>917.58</v>
      </c>
      <c r="I6" s="8" t="n">
        <v>917.58</v>
      </c>
      <c r="J6" s="5" t="str">
        <f aca="false">IF(I6&gt;=0,"✅ SSA OWES","⛔ TO EARN BACK")</f>
        <v>✅ SSA OWES</v>
      </c>
    </row>
    <row r="7" customFormat="false" ht="15" hidden="false" customHeight="true" outlineLevel="0" collapsed="false">
      <c r="A7" s="5" t="s">
        <v>16</v>
      </c>
      <c r="B7" s="5" t="s">
        <v>17</v>
      </c>
      <c r="C7" s="6" t="n">
        <v>0</v>
      </c>
      <c r="D7" s="7" t="n">
        <v>0</v>
      </c>
      <c r="E7" s="7" t="n">
        <v>0</v>
      </c>
      <c r="F7" s="7" t="n">
        <f aca="false">C7+E7-D7</f>
        <v>0</v>
      </c>
      <c r="G7" s="5" t="str">
        <f aca="false">IF(F7&gt;=0,"✅ SSA OWES","⛔ TO EARN BACK")</f>
        <v>✅ SSA OWES</v>
      </c>
      <c r="H7" s="7" t="n">
        <v>1276.59</v>
      </c>
      <c r="I7" s="7" t="n">
        <f aca="false">C7+E7+H7-D7</f>
        <v>1276.59</v>
      </c>
      <c r="J7" s="5" t="str">
        <f aca="false">IF(I7&gt;=0,"✅ SSA OWES","⛔ TO EARN BACK")</f>
        <v>✅ SSA OWES</v>
      </c>
    </row>
    <row r="8" customFormat="false" ht="15" hidden="false" customHeight="true" outlineLevel="0" collapsed="false">
      <c r="A8" s="5" t="s">
        <v>18</v>
      </c>
      <c r="B8" s="5" t="s">
        <v>13</v>
      </c>
      <c r="C8" s="6" t="n">
        <v>0</v>
      </c>
      <c r="D8" s="7" t="n">
        <v>0</v>
      </c>
      <c r="E8" s="7" t="n">
        <v>617.52</v>
      </c>
      <c r="F8" s="7" t="n">
        <f aca="false">C8+E8-D8</f>
        <v>617.52</v>
      </c>
      <c r="G8" s="5" t="str">
        <f aca="false">IF(F8&gt;=0,"✅ SSA OWES","⛔ TO EARN BACK")</f>
        <v>✅ SSA OWES</v>
      </c>
      <c r="H8" s="7" t="n">
        <v>12062.37</v>
      </c>
      <c r="I8" s="7" t="n">
        <f aca="false">C8+E8+H8-D8</f>
        <v>12679.89</v>
      </c>
      <c r="J8" s="5" t="str">
        <f aca="false">IF(I8&gt;=0,"✅ SSA OWES","⛔ TO EARN BACK")</f>
        <v>✅ SSA OWES</v>
      </c>
    </row>
    <row r="9" customFormat="false" ht="15" hidden="false" customHeight="true" outlineLevel="0" collapsed="false">
      <c r="A9" s="5" t="s">
        <v>19</v>
      </c>
      <c r="B9" s="5" t="s">
        <v>20</v>
      </c>
      <c r="C9" s="6" t="n">
        <v>0</v>
      </c>
      <c r="D9" s="7" t="n">
        <f aca="false">'💰 Retainer Log'!E26</f>
        <v>4779.02</v>
      </c>
      <c r="E9" s="7" t="n">
        <v>507.24</v>
      </c>
      <c r="F9" s="7" t="n">
        <f aca="false">C9+E9-D9</f>
        <v>-4271.78</v>
      </c>
      <c r="G9" s="5" t="str">
        <f aca="false">IF(F9&gt;=0,"✅ SSA OWES","⛔ TO EARN BACK")</f>
        <v>⛔ TO EARN BACK</v>
      </c>
      <c r="H9" s="7" t="n">
        <v>2755.71</v>
      </c>
      <c r="I9" s="7" t="n">
        <f aca="false">C9+E9+H9-D9</f>
        <v>-1516.07</v>
      </c>
      <c r="J9" s="5" t="str">
        <f aca="false">IF(I9&gt;=0,"✅ SSA OWES","⛔ TO EARN BACK")</f>
        <v>⛔ TO EARN BACK</v>
      </c>
    </row>
    <row r="10" customFormat="false" ht="15" hidden="false" customHeight="true" outlineLevel="0" collapsed="false">
      <c r="A10" s="9" t="s">
        <v>21</v>
      </c>
      <c r="B10" s="10" t="s">
        <v>22</v>
      </c>
      <c r="C10" s="11" t="n">
        <f aca="false">SUM(C5:C9)</f>
        <v>-12519.47</v>
      </c>
      <c r="D10" s="11" t="n">
        <f aca="false">SUM(D5:D9)</f>
        <v>4779.02</v>
      </c>
      <c r="E10" s="11" t="n">
        <f aca="false">SUM(E5:E9)</f>
        <v>8018.02</v>
      </c>
      <c r="F10" s="11" t="n">
        <f aca="false">SUM(F5:F9)</f>
        <v>-9280.47</v>
      </c>
      <c r="G10" s="9" t="str">
        <f aca="false">IF(F10&gt;=0,"✅ SSA OWES","⛔ TO EARN BACK")</f>
        <v>⛔ TO EARN BACK</v>
      </c>
      <c r="H10" s="11" t="n">
        <f aca="false">SUM(H5:H9)</f>
        <v>22955.73</v>
      </c>
      <c r="I10" s="11" t="n">
        <f aca="false">SUM(I5:I9)</f>
        <v>17851.11</v>
      </c>
      <c r="J10" s="9" t="str">
        <f aca="false">IF(I10&gt;=0,"✅ SSA OWES","⛔ TO EARN BACK")</f>
        <v>✅ SSA OWES</v>
      </c>
    </row>
    <row r="12" customFormat="false" ht="15" hidden="false" customHeight="true" outlineLevel="0" collapsed="false">
      <c r="A12" s="12" t="s">
        <v>23</v>
      </c>
    </row>
    <row r="13" customFormat="false" ht="15" hidden="false" customHeight="true" outlineLevel="0" collapsed="false">
      <c r="A13" s="12" t="s">
        <v>24</v>
      </c>
    </row>
    <row r="14" customFormat="false" ht="15" hidden="false" customHeight="true" outlineLevel="0" collapsed="false">
      <c r="A1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8"/>
    <col collapsed="false" customWidth="true" hidden="false" outlineLevel="0" max="5" min="5" style="1" width="50"/>
    <col collapsed="false" customWidth="true" hidden="false" outlineLevel="0" max="6" min="6" style="1" width="15"/>
  </cols>
  <sheetData>
    <row r="1" customFormat="false" ht="17.25" hidden="false" customHeight="true" outlineLevel="0" collapsed="false">
      <c r="A1" s="2" t="s">
        <v>25</v>
      </c>
    </row>
    <row r="2" customFormat="false" ht="15" hidden="false" customHeight="true" outlineLevel="0" collapsed="false">
      <c r="A2" s="12" t="s">
        <v>26</v>
      </c>
    </row>
    <row r="4" customFormat="false" ht="23.25" hidden="false" customHeight="true" outlineLevel="0" collapsed="false">
      <c r="A4" s="4" t="s">
        <v>27</v>
      </c>
      <c r="B4" s="4" t="s">
        <v>8</v>
      </c>
      <c r="C4" s="4" t="s">
        <v>28</v>
      </c>
      <c r="D4" s="4" t="s">
        <v>3</v>
      </c>
      <c r="E4" s="4" t="s">
        <v>29</v>
      </c>
      <c r="F4" s="4" t="s">
        <v>30</v>
      </c>
    </row>
    <row r="5" customFormat="false" ht="15" hidden="false" customHeight="true" outlineLevel="0" collapsed="false">
      <c r="A5" s="13" t="s">
        <v>31</v>
      </c>
      <c r="B5" s="14" t="s">
        <v>32</v>
      </c>
      <c r="C5" s="14" t="s">
        <v>33</v>
      </c>
      <c r="D5" s="14" t="s">
        <v>34</v>
      </c>
      <c r="E5" s="14" t="s">
        <v>35</v>
      </c>
      <c r="F5" s="8" t="n">
        <v>2382.69</v>
      </c>
    </row>
    <row r="6" customFormat="false" ht="15" hidden="false" customHeight="true" outlineLevel="0" collapsed="false">
      <c r="A6" s="13" t="s">
        <v>36</v>
      </c>
      <c r="B6" s="14" t="s">
        <v>32</v>
      </c>
      <c r="C6" s="14" t="s">
        <v>37</v>
      </c>
      <c r="D6" s="14" t="s">
        <v>34</v>
      </c>
      <c r="E6" s="14" t="s">
        <v>38</v>
      </c>
      <c r="F6" s="8" t="n">
        <v>2553.18</v>
      </c>
    </row>
    <row r="7" customFormat="false" ht="15" hidden="false" customHeight="true" outlineLevel="0" collapsed="false">
      <c r="A7" s="13" t="s">
        <v>39</v>
      </c>
      <c r="B7" s="14" t="s">
        <v>32</v>
      </c>
      <c r="C7" s="14" t="s">
        <v>40</v>
      </c>
      <c r="D7" s="14" t="s">
        <v>41</v>
      </c>
      <c r="E7" s="14" t="s">
        <v>42</v>
      </c>
      <c r="F7" s="8" t="n">
        <v>307.4</v>
      </c>
    </row>
    <row r="8" customFormat="false" ht="15" hidden="false" customHeight="true" outlineLevel="0" collapsed="false">
      <c r="A8" s="13" t="s">
        <v>43</v>
      </c>
      <c r="B8" s="14" t="s">
        <v>44</v>
      </c>
      <c r="C8" s="14" t="s">
        <v>45</v>
      </c>
      <c r="D8" s="14" t="s">
        <v>34</v>
      </c>
      <c r="E8" s="14" t="s">
        <v>46</v>
      </c>
      <c r="F8" s="8" t="n">
        <v>1293.05</v>
      </c>
    </row>
    <row r="9" customFormat="false" ht="15" hidden="false" customHeight="true" outlineLevel="0" collapsed="false">
      <c r="A9" s="13" t="s">
        <v>47</v>
      </c>
      <c r="B9" s="14" t="s">
        <v>44</v>
      </c>
      <c r="C9" s="14" t="s">
        <v>48</v>
      </c>
      <c r="D9" s="14" t="s">
        <v>41</v>
      </c>
      <c r="E9" s="14" t="s">
        <v>49</v>
      </c>
      <c r="F9" s="8" t="n">
        <v>1165.94</v>
      </c>
    </row>
    <row r="10" customFormat="false" ht="15" hidden="false" customHeight="true" outlineLevel="0" collapsed="false">
      <c r="A10" s="13" t="s">
        <v>50</v>
      </c>
      <c r="B10" s="14" t="s">
        <v>44</v>
      </c>
      <c r="C10" s="14" t="s">
        <v>51</v>
      </c>
      <c r="D10" s="14" t="s">
        <v>34</v>
      </c>
      <c r="E10" s="14" t="s">
        <v>52</v>
      </c>
      <c r="F10" s="8" t="n">
        <v>3430</v>
      </c>
    </row>
    <row r="11" customFormat="false" ht="15" hidden="false" customHeight="true" outlineLevel="0" collapsed="false">
      <c r="A11" s="13" t="s">
        <v>53</v>
      </c>
      <c r="B11" s="14" t="s">
        <v>44</v>
      </c>
      <c r="C11" s="14" t="s">
        <v>54</v>
      </c>
      <c r="D11" s="14" t="s">
        <v>41</v>
      </c>
      <c r="E11" s="14" t="s">
        <v>55</v>
      </c>
      <c r="F11" s="8" t="n">
        <v>542.73</v>
      </c>
    </row>
    <row r="12" customFormat="false" ht="15" hidden="false" customHeight="true" outlineLevel="0" collapsed="false">
      <c r="A12" s="13" t="s">
        <v>56</v>
      </c>
      <c r="B12" s="14" t="s">
        <v>44</v>
      </c>
      <c r="C12" s="14" t="s">
        <v>57</v>
      </c>
      <c r="D12" s="14" t="s">
        <v>34</v>
      </c>
      <c r="E12" s="14" t="s">
        <v>58</v>
      </c>
      <c r="F12" s="8" t="n">
        <v>0</v>
      </c>
    </row>
    <row r="13" customFormat="false" ht="15" hidden="false" customHeight="true" outlineLevel="0" collapsed="false">
      <c r="A13" s="13" t="s">
        <v>59</v>
      </c>
      <c r="B13" s="14" t="s">
        <v>44</v>
      </c>
      <c r="C13" s="14" t="s">
        <v>60</v>
      </c>
      <c r="D13" s="14" t="s">
        <v>34</v>
      </c>
      <c r="E13" s="14" t="s">
        <v>61</v>
      </c>
      <c r="F13" s="8" t="n">
        <v>1294.57</v>
      </c>
    </row>
    <row r="14" customFormat="false" ht="15" hidden="false" customHeight="true" outlineLevel="0" collapsed="false">
      <c r="A14" s="13" t="s">
        <v>62</v>
      </c>
      <c r="B14" s="14" t="s">
        <v>44</v>
      </c>
      <c r="C14" s="14" t="s">
        <v>63</v>
      </c>
      <c r="D14" s="14" t="s">
        <v>34</v>
      </c>
      <c r="E14" s="14" t="s">
        <v>64</v>
      </c>
      <c r="F14" s="8" t="n">
        <v>6581.91</v>
      </c>
    </row>
    <row r="15" customFormat="false" ht="15" hidden="false" customHeight="true" outlineLevel="0" collapsed="false">
      <c r="A15" s="13" t="s">
        <v>65</v>
      </c>
      <c r="B15" s="14" t="s">
        <v>44</v>
      </c>
      <c r="C15" s="14" t="s">
        <v>66</v>
      </c>
      <c r="D15" s="14" t="s">
        <v>34</v>
      </c>
      <c r="E15" s="14" t="s">
        <v>67</v>
      </c>
      <c r="F15" s="8" t="n">
        <v>0</v>
      </c>
    </row>
    <row r="16" customFormat="false" ht="15" hidden="false" customHeight="true" outlineLevel="0" collapsed="false">
      <c r="A16" s="13" t="s">
        <v>68</v>
      </c>
      <c r="B16" s="14" t="s">
        <v>44</v>
      </c>
      <c r="C16" s="14" t="s">
        <v>69</v>
      </c>
      <c r="D16" s="14" t="s">
        <v>34</v>
      </c>
      <c r="E16" s="14" t="s">
        <v>70</v>
      </c>
      <c r="F16" s="8" t="n">
        <v>2394.09</v>
      </c>
    </row>
    <row r="17" customFormat="false" ht="15" hidden="false" customHeight="true" outlineLevel="0" collapsed="false">
      <c r="A17" s="13" t="s">
        <v>71</v>
      </c>
      <c r="B17" s="14" t="s">
        <v>44</v>
      </c>
      <c r="C17" s="14" t="s">
        <v>72</v>
      </c>
      <c r="D17" s="14" t="s">
        <v>34</v>
      </c>
      <c r="E17" s="14" t="s">
        <v>73</v>
      </c>
      <c r="F17" s="8" t="n">
        <v>1010.18</v>
      </c>
    </row>
    <row r="18" customFormat="false" ht="15" hidden="false" customHeight="true" outlineLevel="0" collapsed="false">
      <c r="A18" s="15"/>
      <c r="B18" s="5"/>
      <c r="C18" s="5"/>
      <c r="D18" s="5"/>
      <c r="E18" s="5"/>
      <c r="F18" s="7"/>
    </row>
    <row r="19" customFormat="false" ht="15" hidden="false" customHeight="true" outlineLevel="0" collapsed="false">
      <c r="A19" s="15"/>
      <c r="B19" s="5"/>
      <c r="C19" s="16" t="s">
        <v>74</v>
      </c>
      <c r="D19" s="5"/>
      <c r="E19" s="5"/>
      <c r="F19" s="17" t="n">
        <f aca="false">SUM(F5:F17)</f>
        <v>22955.74</v>
      </c>
    </row>
    <row r="20" customFormat="false" ht="15" hidden="false" customHeight="true" outlineLevel="0" collapsed="false">
      <c r="A20" s="15"/>
      <c r="B20" s="5"/>
      <c r="C20" s="5"/>
      <c r="D20" s="5"/>
      <c r="E20" s="5"/>
      <c r="F20" s="7"/>
    </row>
    <row r="21" customFormat="false" ht="15" hidden="false" customHeight="true" outlineLevel="0" collapsed="false">
      <c r="A21" s="15"/>
      <c r="B21" s="5"/>
      <c r="C21" s="5"/>
      <c r="D21" s="5"/>
      <c r="E21" s="5"/>
      <c r="F21" s="7"/>
    </row>
    <row r="22" customFormat="false" ht="15" hidden="false" customHeight="true" outlineLevel="0" collapsed="false">
      <c r="A22" s="15"/>
      <c r="B22" s="5"/>
      <c r="C22" s="5"/>
      <c r="D22" s="5"/>
      <c r="E22" s="5"/>
      <c r="F22" s="7"/>
    </row>
    <row r="23" customFormat="false" ht="15" hidden="false" customHeight="true" outlineLevel="0" collapsed="false">
      <c r="A23" s="15"/>
      <c r="B23" s="5"/>
      <c r="C23" s="5"/>
      <c r="D23" s="5"/>
      <c r="E23" s="5"/>
      <c r="F23" s="7"/>
    </row>
    <row r="25" customFormat="false" ht="15" hidden="false" customHeight="true" outlineLevel="0" collapsed="false">
      <c r="C25" s="18"/>
      <c r="F2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</cols>
  <sheetData>
    <row r="1" customFormat="false" ht="17.25" hidden="false" customHeight="true" outlineLevel="0" collapsed="false">
      <c r="A1" s="2" t="s">
        <v>75</v>
      </c>
    </row>
    <row r="2" customFormat="false" ht="42" hidden="false" customHeight="true" outlineLevel="0" collapsed="false">
      <c r="A2" s="3" t="s">
        <v>76</v>
      </c>
    </row>
    <row r="4" customFormat="false" ht="15" hidden="false" customHeight="true" outlineLevel="0" collapsed="false">
      <c r="A4" s="18" t="s">
        <v>77</v>
      </c>
    </row>
    <row r="5" customFormat="false" ht="15" hidden="false" customHeight="true" outlineLevel="0" collapsed="false">
      <c r="A5" s="1" t="s">
        <v>78</v>
      </c>
      <c r="B5" s="20" t="n">
        <v>1250</v>
      </c>
    </row>
    <row r="6" customFormat="false" ht="15" hidden="false" customHeight="true" outlineLevel="0" collapsed="false">
      <c r="A6" s="1" t="s">
        <v>79</v>
      </c>
      <c r="B6" s="20" t="n">
        <v>224</v>
      </c>
    </row>
    <row r="7" customFormat="false" ht="15" hidden="false" customHeight="true" outlineLevel="0" collapsed="false">
      <c r="A7" s="1" t="s">
        <v>80</v>
      </c>
      <c r="B7" s="21" t="n">
        <v>0.8284</v>
      </c>
    </row>
    <row r="8" customFormat="false" ht="15" hidden="false" customHeight="true" outlineLevel="0" collapsed="false">
      <c r="A8" s="1" t="s">
        <v>81</v>
      </c>
      <c r="B8" s="22" t="n">
        <v>0.12</v>
      </c>
    </row>
    <row r="10" customFormat="false" ht="15" hidden="false" customHeight="true" outlineLevel="0" collapsed="false">
      <c r="A10" s="4" t="s">
        <v>82</v>
      </c>
      <c r="B10" s="4" t="s">
        <v>2</v>
      </c>
      <c r="C10" s="4" t="s">
        <v>83</v>
      </c>
      <c r="D10" s="4" t="s">
        <v>84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</row>
    <row r="11" customFormat="false" ht="15" hidden="false" customHeight="true" outlineLevel="0" collapsed="false">
      <c r="A11" s="5" t="s">
        <v>90</v>
      </c>
      <c r="B11" s="5" t="s">
        <v>19</v>
      </c>
      <c r="C11" s="5" t="s">
        <v>91</v>
      </c>
      <c r="D11" s="5" t="s">
        <v>92</v>
      </c>
      <c r="E11" s="6" t="n">
        <v>500</v>
      </c>
      <c r="F11" s="5" t="s">
        <v>93</v>
      </c>
      <c r="G11" s="7" t="n">
        <f aca="false">E11</f>
        <v>500</v>
      </c>
      <c r="H11" s="5" t="s">
        <v>93</v>
      </c>
      <c r="I11" s="5" t="s">
        <v>94</v>
      </c>
    </row>
    <row r="12" customFormat="false" ht="15" hidden="false" customHeight="true" outlineLevel="0" collapsed="false">
      <c r="A12" s="5" t="s">
        <v>95</v>
      </c>
      <c r="B12" s="5" t="s">
        <v>19</v>
      </c>
      <c r="C12" s="5" t="s">
        <v>91</v>
      </c>
      <c r="D12" s="5" t="s">
        <v>96</v>
      </c>
      <c r="E12" s="6" t="n">
        <v>500</v>
      </c>
      <c r="F12" s="5" t="s">
        <v>93</v>
      </c>
      <c r="G12" s="7" t="n">
        <f aca="false">E12</f>
        <v>500</v>
      </c>
      <c r="H12" s="5" t="s">
        <v>93</v>
      </c>
      <c r="I12" s="5" t="s">
        <v>94</v>
      </c>
    </row>
    <row r="13" customFormat="false" ht="15" hidden="false" customHeight="true" outlineLevel="0" collapsed="false">
      <c r="A13" s="5" t="s">
        <v>97</v>
      </c>
      <c r="B13" s="5" t="s">
        <v>19</v>
      </c>
      <c r="C13" s="5" t="s">
        <v>91</v>
      </c>
      <c r="D13" s="5" t="s">
        <v>98</v>
      </c>
      <c r="E13" s="6" t="n">
        <v>500</v>
      </c>
      <c r="F13" s="5" t="s">
        <v>93</v>
      </c>
      <c r="G13" s="7" t="n">
        <f aca="false">E13</f>
        <v>500</v>
      </c>
      <c r="H13" s="5" t="s">
        <v>93</v>
      </c>
      <c r="I13" s="5" t="s">
        <v>94</v>
      </c>
    </row>
    <row r="14" customFormat="false" ht="15" hidden="false" customHeight="true" outlineLevel="0" collapsed="false">
      <c r="A14" s="5" t="s">
        <v>99</v>
      </c>
      <c r="B14" s="5" t="s">
        <v>19</v>
      </c>
      <c r="C14" s="5" t="s">
        <v>91</v>
      </c>
      <c r="D14" s="5" t="s">
        <v>100</v>
      </c>
      <c r="E14" s="6" t="n">
        <v>500</v>
      </c>
      <c r="F14" s="5" t="s">
        <v>93</v>
      </c>
      <c r="G14" s="7" t="n">
        <f aca="false">E14</f>
        <v>500</v>
      </c>
      <c r="H14" s="5" t="s">
        <v>93</v>
      </c>
      <c r="I14" s="5" t="s">
        <v>94</v>
      </c>
    </row>
    <row r="15" customFormat="false" ht="15" hidden="false" customHeight="true" outlineLevel="0" collapsed="false">
      <c r="A15" s="5" t="s">
        <v>101</v>
      </c>
      <c r="B15" s="5" t="s">
        <v>19</v>
      </c>
      <c r="C15" s="5" t="s">
        <v>91</v>
      </c>
      <c r="D15" s="5" t="s">
        <v>102</v>
      </c>
      <c r="E15" s="6" t="n">
        <v>500</v>
      </c>
      <c r="F15" s="5" t="s">
        <v>93</v>
      </c>
      <c r="G15" s="7" t="n">
        <f aca="false">E15</f>
        <v>500</v>
      </c>
      <c r="H15" s="5" t="s">
        <v>93</v>
      </c>
      <c r="I15" s="5" t="s">
        <v>94</v>
      </c>
    </row>
    <row r="16" customFormat="false" ht="15" hidden="false" customHeight="true" outlineLevel="0" collapsed="false">
      <c r="A16" s="5" t="s">
        <v>103</v>
      </c>
      <c r="B16" s="5" t="s">
        <v>19</v>
      </c>
      <c r="C16" s="5" t="s">
        <v>91</v>
      </c>
      <c r="D16" s="5" t="s">
        <v>104</v>
      </c>
      <c r="E16" s="6" t="n">
        <v>500</v>
      </c>
      <c r="F16" s="5" t="s">
        <v>93</v>
      </c>
      <c r="G16" s="7" t="n">
        <f aca="false">E16</f>
        <v>500</v>
      </c>
      <c r="H16" s="5" t="s">
        <v>93</v>
      </c>
      <c r="I16" s="5" t="s">
        <v>94</v>
      </c>
    </row>
    <row r="17" customFormat="false" ht="15" hidden="false" customHeight="true" outlineLevel="0" collapsed="false">
      <c r="C17" s="12" t="s">
        <v>105</v>
      </c>
    </row>
    <row r="18" customFormat="false" ht="15" hidden="false" customHeight="true" outlineLevel="0" collapsed="false">
      <c r="A18" s="14" t="s">
        <v>106</v>
      </c>
      <c r="B18" s="14" t="s">
        <v>19</v>
      </c>
      <c r="C18" s="14" t="s">
        <v>107</v>
      </c>
      <c r="D18" s="14" t="s">
        <v>108</v>
      </c>
      <c r="E18" s="23" t="n">
        <v>424.66</v>
      </c>
      <c r="F18" s="14" t="s">
        <v>93</v>
      </c>
      <c r="G18" s="24" t="n">
        <f aca="false">E18</f>
        <v>424.66</v>
      </c>
      <c r="H18" s="14" t="s">
        <v>93</v>
      </c>
      <c r="I18" s="25" t="s">
        <v>109</v>
      </c>
    </row>
    <row r="19" customFormat="false" ht="15" hidden="false" customHeight="true" outlineLevel="0" collapsed="false">
      <c r="A19" s="14" t="s">
        <v>110</v>
      </c>
      <c r="B19" s="14" t="s">
        <v>19</v>
      </c>
      <c r="C19" s="14" t="s">
        <v>111</v>
      </c>
      <c r="D19" s="14" t="s">
        <v>108</v>
      </c>
      <c r="E19" s="23" t="n">
        <v>484.5</v>
      </c>
      <c r="F19" s="14" t="s">
        <v>93</v>
      </c>
      <c r="G19" s="24" t="n">
        <f aca="false">E19</f>
        <v>484.5</v>
      </c>
      <c r="H19" s="14" t="s">
        <v>93</v>
      </c>
      <c r="I19" s="25" t="s">
        <v>112</v>
      </c>
    </row>
    <row r="20" customFormat="false" ht="15" hidden="false" customHeight="true" outlineLevel="0" collapsed="false">
      <c r="A20" s="14" t="s">
        <v>113</v>
      </c>
      <c r="B20" s="14" t="s">
        <v>19</v>
      </c>
      <c r="C20" s="14" t="s">
        <v>114</v>
      </c>
      <c r="D20" s="14" t="s">
        <v>108</v>
      </c>
      <c r="E20" s="23" t="n">
        <v>711.67</v>
      </c>
      <c r="F20" s="14" t="s">
        <v>93</v>
      </c>
      <c r="G20" s="24" t="n">
        <f aca="false">E20</f>
        <v>711.67</v>
      </c>
      <c r="H20" s="14" t="s">
        <v>93</v>
      </c>
      <c r="I20" s="25" t="s">
        <v>112</v>
      </c>
    </row>
    <row r="21" customFormat="false" ht="15" hidden="false" customHeight="true" outlineLevel="0" collapsed="false">
      <c r="A21" s="14" t="s">
        <v>115</v>
      </c>
      <c r="B21" s="14" t="s">
        <v>19</v>
      </c>
      <c r="C21" s="14" t="s">
        <v>116</v>
      </c>
      <c r="D21" s="14" t="s">
        <v>108</v>
      </c>
      <c r="E21" s="23" t="n">
        <v>9.19</v>
      </c>
      <c r="F21" s="14" t="s">
        <v>93</v>
      </c>
      <c r="G21" s="24" t="n">
        <f aca="false">E21</f>
        <v>9.19</v>
      </c>
      <c r="H21" s="14" t="s">
        <v>93</v>
      </c>
      <c r="I21" s="25" t="s">
        <v>112</v>
      </c>
    </row>
    <row r="22" customFormat="false" ht="15" hidden="false" customHeight="true" outlineLevel="0" collapsed="false">
      <c r="A22" s="14" t="s">
        <v>117</v>
      </c>
      <c r="B22" s="14" t="s">
        <v>19</v>
      </c>
      <c r="C22" s="14" t="s">
        <v>118</v>
      </c>
      <c r="D22" s="14" t="s">
        <v>108</v>
      </c>
      <c r="E22" s="23" t="n">
        <v>149</v>
      </c>
      <c r="F22" s="14" t="s">
        <v>93</v>
      </c>
      <c r="G22" s="24" t="n">
        <f aca="false">E22</f>
        <v>149</v>
      </c>
      <c r="H22" s="14" t="s">
        <v>93</v>
      </c>
      <c r="I22" s="25" t="s">
        <v>119</v>
      </c>
    </row>
    <row r="23" customFormat="false" ht="15" hidden="false" customHeight="true" outlineLevel="0" collapsed="false">
      <c r="A23" s="5"/>
      <c r="B23" s="5"/>
      <c r="C23" s="5"/>
      <c r="D23" s="5"/>
      <c r="E23" s="6"/>
      <c r="F23" s="5"/>
      <c r="G23" s="7"/>
      <c r="H23" s="5"/>
      <c r="I23" s="26"/>
    </row>
    <row r="24" customFormat="false" ht="15" hidden="false" customHeight="true" outlineLevel="0" collapsed="false">
      <c r="A24" s="5"/>
      <c r="B24" s="5"/>
      <c r="C24" s="27" t="s">
        <v>120</v>
      </c>
      <c r="D24" s="5"/>
      <c r="E24" s="28" t="n">
        <f aca="false">SUM(E11:E16)</f>
        <v>3000</v>
      </c>
      <c r="F24" s="5"/>
      <c r="G24" s="7"/>
      <c r="H24" s="5"/>
      <c r="I24" s="26"/>
    </row>
    <row r="25" customFormat="false" ht="15" hidden="false" customHeight="true" outlineLevel="0" collapsed="false">
      <c r="A25" s="5"/>
      <c r="B25" s="5"/>
      <c r="C25" s="27" t="s">
        <v>121</v>
      </c>
      <c r="D25" s="5"/>
      <c r="E25" s="28" t="n">
        <f aca="false">SUM(E18:E22)</f>
        <v>1779.02</v>
      </c>
      <c r="F25" s="5"/>
      <c r="G25" s="7"/>
      <c r="H25" s="5"/>
      <c r="I25" s="26"/>
    </row>
    <row r="26" customFormat="false" ht="15" hidden="false" customHeight="true" outlineLevel="0" collapsed="false">
      <c r="A26" s="5"/>
      <c r="B26" s="5"/>
      <c r="C26" s="16" t="s">
        <v>122</v>
      </c>
      <c r="D26" s="5"/>
      <c r="E26" s="29" t="n">
        <f aca="false">SUM(E11:E16)+SUM(E18:E22)</f>
        <v>4779.02</v>
      </c>
      <c r="F26" s="5"/>
      <c r="G26" s="7"/>
      <c r="H26" s="5"/>
      <c r="I26" s="26"/>
    </row>
    <row r="27" customFormat="false" ht="15" hidden="false" customHeight="true" outlineLevel="0" collapsed="false">
      <c r="A27" s="5"/>
      <c r="B27" s="5"/>
      <c r="C27" s="5"/>
      <c r="D27" s="5"/>
      <c r="E27" s="6"/>
      <c r="F27" s="5"/>
      <c r="G27" s="7"/>
      <c r="H27" s="5"/>
      <c r="I27" s="26"/>
    </row>
    <row r="28" customFormat="false" ht="15" hidden="false" customHeight="true" outlineLevel="0" collapsed="false">
      <c r="A28" s="5"/>
      <c r="B28" s="5"/>
      <c r="C28" s="27" t="s">
        <v>123</v>
      </c>
      <c r="D28" s="5"/>
      <c r="E28" s="6"/>
      <c r="F28" s="5"/>
      <c r="G28" s="7"/>
      <c r="H28" s="5"/>
      <c r="I28" s="26"/>
    </row>
    <row r="29" customFormat="false" ht="15" hidden="false" customHeight="true" outlineLevel="0" collapsed="false">
      <c r="C29" s="12" t="s">
        <v>124</v>
      </c>
      <c r="E29" s="30"/>
    </row>
    <row r="30" customFormat="false" ht="15" hidden="false" customHeight="true" outlineLevel="0" collapsed="false">
      <c r="A30" s="31"/>
      <c r="B30" s="31"/>
      <c r="C30" s="12"/>
      <c r="E30" s="32"/>
      <c r="I30" s="33"/>
    </row>
    <row r="31" customFormat="false" ht="15" hidden="false" customHeight="true" outlineLevel="0" collapsed="false">
      <c r="C31" s="12"/>
    </row>
    <row r="32" customFormat="false" ht="15" hidden="false" customHeight="true" outlineLevel="0" collapsed="false">
      <c r="C32" s="12"/>
      <c r="E32" s="30"/>
    </row>
    <row r="33" customFormat="false" ht="15" hidden="false" customHeight="true" outlineLevel="0" collapsed="false">
      <c r="C33" s="12"/>
      <c r="E33" s="30"/>
    </row>
    <row r="34" customFormat="false" ht="15" hidden="false" customHeight="true" outlineLevel="0" collapsed="false">
      <c r="C34" s="18"/>
      <c r="E34" s="34"/>
    </row>
    <row r="35" customFormat="false" ht="15" hidden="false" customHeight="true" outlineLevel="0" collapsed="false">
      <c r="C3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4"/>
    <col collapsed="false" customWidth="true" hidden="false" outlineLevel="0" max="3" min="3" style="1" width="11"/>
    <col collapsed="false" customWidth="true" hidden="false" outlineLevel="0" max="5" min="4" style="1" width="26"/>
    <col collapsed="false" customWidth="true" hidden="false" outlineLevel="0" max="6" min="6" style="1" width="8"/>
    <col collapsed="false" customWidth="true" hidden="false" outlineLevel="0" max="8" min="7" style="1" width="14"/>
    <col collapsed="false" customWidth="true" hidden="false" outlineLevel="0" max="9" min="9" style="1" width="22"/>
  </cols>
  <sheetData>
    <row r="1" customFormat="false" ht="17.25" hidden="false" customHeight="true" outlineLevel="0" collapsed="false">
      <c r="A1" s="2" t="s">
        <v>125</v>
      </c>
    </row>
    <row r="2" customFormat="false" ht="15" hidden="false" customHeight="true" outlineLevel="0" collapsed="false">
      <c r="A2" s="12" t="s">
        <v>126</v>
      </c>
    </row>
    <row r="4" customFormat="false" ht="15" hidden="false" customHeight="true" outlineLevel="0" collapsed="false">
      <c r="A4" s="35" t="s">
        <v>127</v>
      </c>
      <c r="C4" s="35" t="s">
        <v>128</v>
      </c>
      <c r="E4" s="35" t="s">
        <v>129</v>
      </c>
      <c r="G4" s="35" t="s">
        <v>130</v>
      </c>
    </row>
    <row r="5" customFormat="false" ht="15" hidden="false" customHeight="true" outlineLevel="0" collapsed="false">
      <c r="A5" s="36" t="n">
        <v>1904462.68</v>
      </c>
      <c r="C5" s="37" t="n">
        <v>163655.61</v>
      </c>
      <c r="E5" s="38" t="n">
        <v>76</v>
      </c>
      <c r="G5" s="38" t="n">
        <v>4</v>
      </c>
    </row>
    <row r="7" customFormat="false" ht="30" hidden="false" customHeight="true" outlineLevel="0" collapsed="false">
      <c r="A7" s="39" t="s">
        <v>131</v>
      </c>
      <c r="B7" s="39"/>
      <c r="C7" s="39"/>
      <c r="D7" s="39"/>
      <c r="E7" s="39"/>
      <c r="F7" s="39"/>
      <c r="G7" s="39"/>
      <c r="H7" s="39"/>
    </row>
    <row r="8" customFormat="false" ht="15" hidden="false" customHeight="true" outlineLevel="0" collapsed="false">
      <c r="A8" s="39"/>
      <c r="B8" s="39"/>
      <c r="C8" s="39"/>
      <c r="D8" s="39"/>
      <c r="E8" s="39"/>
      <c r="F8" s="39"/>
      <c r="G8" s="39"/>
      <c r="H8" s="39"/>
    </row>
    <row r="10" customFormat="false" ht="15" hidden="false" customHeight="true" outlineLevel="0" collapsed="false">
      <c r="A10" s="4" t="s">
        <v>27</v>
      </c>
      <c r="B10" s="4" t="s">
        <v>132</v>
      </c>
      <c r="C10" s="4" t="s">
        <v>133</v>
      </c>
      <c r="D10" s="4" t="s">
        <v>134</v>
      </c>
      <c r="E10" s="4" t="s">
        <v>135</v>
      </c>
      <c r="F10" s="4" t="s">
        <v>3</v>
      </c>
      <c r="G10" s="4" t="s">
        <v>136</v>
      </c>
      <c r="H10" s="4" t="s">
        <v>137</v>
      </c>
      <c r="I10" s="4" t="s">
        <v>138</v>
      </c>
    </row>
    <row r="11" customFormat="false" ht="15" hidden="false" customHeight="true" outlineLevel="0" collapsed="false">
      <c r="A11" s="15" t="s">
        <v>139</v>
      </c>
      <c r="B11" s="5" t="s">
        <v>140</v>
      </c>
      <c r="C11" s="5" t="s">
        <v>115</v>
      </c>
      <c r="D11" s="40" t="s">
        <v>93</v>
      </c>
      <c r="E11" s="40" t="s">
        <v>12</v>
      </c>
      <c r="F11" s="5" t="s">
        <v>34</v>
      </c>
      <c r="G11" s="7" t="n">
        <v>14988</v>
      </c>
      <c r="H11" s="7" t="n">
        <v>681.27</v>
      </c>
      <c r="I11" s="41"/>
    </row>
    <row r="12" customFormat="false" ht="15" hidden="false" customHeight="true" outlineLevel="0" collapsed="false">
      <c r="A12" s="15" t="s">
        <v>141</v>
      </c>
      <c r="B12" s="5" t="s">
        <v>142</v>
      </c>
      <c r="C12" s="5" t="s">
        <v>143</v>
      </c>
      <c r="D12" s="40" t="s">
        <v>144</v>
      </c>
      <c r="E12" s="40" t="s">
        <v>144</v>
      </c>
      <c r="F12" s="5" t="s">
        <v>41</v>
      </c>
      <c r="G12" s="7" t="n">
        <v>35355</v>
      </c>
      <c r="H12" s="7" t="n">
        <v>3214.09</v>
      </c>
      <c r="I12" s="41"/>
    </row>
    <row r="13" customFormat="false" ht="15" hidden="false" customHeight="true" outlineLevel="0" collapsed="false">
      <c r="A13" s="15" t="s">
        <v>145</v>
      </c>
      <c r="B13" s="5" t="s">
        <v>146</v>
      </c>
      <c r="C13" s="5" t="s">
        <v>147</v>
      </c>
      <c r="D13" s="40" t="s">
        <v>148</v>
      </c>
      <c r="E13" s="40" t="s">
        <v>149</v>
      </c>
      <c r="F13" s="5" t="s">
        <v>41</v>
      </c>
      <c r="G13" s="7" t="n">
        <v>67927</v>
      </c>
      <c r="H13" s="7" t="n">
        <v>6175.18</v>
      </c>
      <c r="I13" s="41"/>
    </row>
    <row r="14" customFormat="false" ht="15" hidden="false" customHeight="true" outlineLevel="0" collapsed="false">
      <c r="A14" s="15" t="s">
        <v>150</v>
      </c>
      <c r="B14" s="5" t="s">
        <v>151</v>
      </c>
      <c r="C14" s="5" t="s">
        <v>147</v>
      </c>
      <c r="D14" s="40" t="s">
        <v>19</v>
      </c>
      <c r="E14" s="40" t="s">
        <v>14</v>
      </c>
      <c r="F14" s="5" t="s">
        <v>34</v>
      </c>
      <c r="G14" s="7" t="n">
        <v>19737</v>
      </c>
      <c r="H14" s="7" t="n">
        <v>1404.38</v>
      </c>
      <c r="I14" s="41"/>
    </row>
    <row r="15" customFormat="false" ht="15" hidden="false" customHeight="true" outlineLevel="0" collapsed="false">
      <c r="A15" s="15" t="s">
        <v>152</v>
      </c>
      <c r="B15" s="5" t="s">
        <v>153</v>
      </c>
      <c r="C15" s="5" t="s">
        <v>106</v>
      </c>
      <c r="D15" s="40" t="s">
        <v>154</v>
      </c>
      <c r="E15" s="40" t="s">
        <v>155</v>
      </c>
      <c r="F15" s="5" t="s">
        <v>41</v>
      </c>
      <c r="G15" s="7" t="n">
        <v>23763</v>
      </c>
      <c r="H15" s="7" t="n">
        <v>2160.27</v>
      </c>
      <c r="I15" s="41"/>
    </row>
    <row r="16" customFormat="false" ht="15" hidden="false" customHeight="true" outlineLevel="0" collapsed="false">
      <c r="A16" s="15" t="s">
        <v>156</v>
      </c>
      <c r="B16" s="5" t="s">
        <v>157</v>
      </c>
      <c r="C16" s="5" t="s">
        <v>106</v>
      </c>
      <c r="D16" s="40" t="s">
        <v>158</v>
      </c>
      <c r="E16" s="40" t="s">
        <v>158</v>
      </c>
      <c r="F16" s="5" t="s">
        <v>41</v>
      </c>
      <c r="G16" s="7" t="n">
        <v>19737</v>
      </c>
      <c r="H16" s="7" t="n">
        <v>1794.27</v>
      </c>
      <c r="I16" s="41"/>
    </row>
    <row r="17" customFormat="false" ht="15" hidden="false" customHeight="true" outlineLevel="0" collapsed="false">
      <c r="A17" s="15" t="s">
        <v>159</v>
      </c>
      <c r="B17" s="5" t="s">
        <v>160</v>
      </c>
      <c r="C17" s="5" t="s">
        <v>161</v>
      </c>
      <c r="D17" s="40" t="s">
        <v>162</v>
      </c>
      <c r="E17" s="40" t="s">
        <v>163</v>
      </c>
      <c r="F17" s="5" t="s">
        <v>41</v>
      </c>
      <c r="G17" s="7" t="n">
        <v>7032</v>
      </c>
      <c r="H17" s="7" t="n">
        <v>639.27</v>
      </c>
      <c r="I17" s="41"/>
    </row>
    <row r="18" customFormat="false" ht="15" hidden="false" customHeight="true" outlineLevel="0" collapsed="false">
      <c r="A18" s="15" t="s">
        <v>164</v>
      </c>
      <c r="B18" s="5" t="s">
        <v>165</v>
      </c>
      <c r="C18" s="5" t="s">
        <v>161</v>
      </c>
      <c r="D18" s="40" t="s">
        <v>166</v>
      </c>
      <c r="E18" s="40" t="s">
        <v>158</v>
      </c>
      <c r="F18" s="5" t="s">
        <v>41</v>
      </c>
      <c r="G18" s="7" t="n">
        <v>28945</v>
      </c>
      <c r="H18" s="7" t="n">
        <v>2631.36</v>
      </c>
      <c r="I18" s="41"/>
    </row>
    <row r="19" customFormat="false" ht="15" hidden="false" customHeight="true" outlineLevel="0" collapsed="false">
      <c r="A19" s="15" t="s">
        <v>167</v>
      </c>
      <c r="B19" s="5" t="s">
        <v>168</v>
      </c>
      <c r="C19" s="5" t="s">
        <v>169</v>
      </c>
      <c r="D19" s="40" t="s">
        <v>170</v>
      </c>
      <c r="E19" s="40" t="s">
        <v>171</v>
      </c>
      <c r="F19" s="5" t="s">
        <v>41</v>
      </c>
      <c r="G19" s="7" t="n">
        <v>28992</v>
      </c>
      <c r="H19" s="7" t="n">
        <v>2635.64</v>
      </c>
      <c r="I19" s="41"/>
    </row>
    <row r="20" customFormat="false" ht="15" hidden="false" customHeight="true" outlineLevel="0" collapsed="false">
      <c r="A20" s="15" t="s">
        <v>172</v>
      </c>
      <c r="B20" s="5" t="s">
        <v>173</v>
      </c>
      <c r="C20" s="5" t="s">
        <v>174</v>
      </c>
      <c r="D20" s="40" t="s">
        <v>175</v>
      </c>
      <c r="E20" s="40" t="s">
        <v>18</v>
      </c>
      <c r="F20" s="5" t="s">
        <v>34</v>
      </c>
      <c r="G20" s="7" t="n">
        <v>37273.2</v>
      </c>
      <c r="H20" s="7" t="n">
        <v>3332.26</v>
      </c>
      <c r="I20" s="41"/>
    </row>
    <row r="21" customFormat="false" ht="15" hidden="false" customHeight="true" outlineLevel="0" collapsed="false">
      <c r="A21" s="15" t="s">
        <v>176</v>
      </c>
      <c r="B21" s="5" t="s">
        <v>177</v>
      </c>
      <c r="C21" s="5" t="s">
        <v>178</v>
      </c>
      <c r="D21" s="40" t="s">
        <v>19</v>
      </c>
      <c r="E21" s="40" t="s">
        <v>179</v>
      </c>
      <c r="F21" s="5" t="s">
        <v>34</v>
      </c>
      <c r="G21" s="7" t="n">
        <v>29100</v>
      </c>
      <c r="H21" s="7" t="n">
        <v>2204.26</v>
      </c>
      <c r="I21" s="41"/>
    </row>
    <row r="22" customFormat="false" ht="15" hidden="false" customHeight="true" outlineLevel="0" collapsed="false">
      <c r="A22" s="15" t="s">
        <v>180</v>
      </c>
      <c r="B22" s="5" t="s">
        <v>181</v>
      </c>
      <c r="C22" s="5" t="s">
        <v>103</v>
      </c>
      <c r="D22" s="40" t="s">
        <v>93</v>
      </c>
      <c r="E22" s="40" t="s">
        <v>12</v>
      </c>
      <c r="F22" s="5" t="s">
        <v>34</v>
      </c>
      <c r="G22" s="7" t="n">
        <v>26747</v>
      </c>
      <c r="H22" s="7" t="n">
        <v>1215.77</v>
      </c>
      <c r="I22" s="41"/>
    </row>
    <row r="23" customFormat="false" ht="15" hidden="false" customHeight="true" outlineLevel="0" collapsed="false">
      <c r="A23" s="15" t="s">
        <v>182</v>
      </c>
      <c r="B23" s="5" t="s">
        <v>183</v>
      </c>
      <c r="C23" s="5" t="s">
        <v>184</v>
      </c>
      <c r="D23" s="40" t="s">
        <v>185</v>
      </c>
      <c r="E23" s="40" t="s">
        <v>12</v>
      </c>
      <c r="F23" s="5" t="s">
        <v>34</v>
      </c>
      <c r="G23" s="7" t="n">
        <v>27325</v>
      </c>
      <c r="H23" s="7" t="n">
        <v>2484.09</v>
      </c>
      <c r="I23" s="41"/>
    </row>
    <row r="24" customFormat="false" ht="15" hidden="false" customHeight="true" outlineLevel="0" collapsed="false">
      <c r="A24" s="15" t="s">
        <v>43</v>
      </c>
      <c r="B24" s="5" t="s">
        <v>186</v>
      </c>
      <c r="C24" s="5" t="s">
        <v>184</v>
      </c>
      <c r="D24" s="40" t="s">
        <v>187</v>
      </c>
      <c r="E24" s="40" t="s">
        <v>12</v>
      </c>
      <c r="F24" s="5" t="s">
        <v>34</v>
      </c>
      <c r="G24" s="7" t="n">
        <v>17113</v>
      </c>
      <c r="H24" s="7" t="n">
        <v>1555.73</v>
      </c>
      <c r="I24" s="41"/>
    </row>
    <row r="25" customFormat="false" ht="15" hidden="false" customHeight="true" outlineLevel="0" collapsed="false">
      <c r="A25" s="13" t="s">
        <v>188</v>
      </c>
      <c r="B25" s="14" t="s">
        <v>189</v>
      </c>
      <c r="C25" s="14" t="s">
        <v>190</v>
      </c>
      <c r="D25" s="42" t="s">
        <v>191</v>
      </c>
      <c r="E25" s="42" t="s">
        <v>12</v>
      </c>
      <c r="F25" s="14" t="s">
        <v>34</v>
      </c>
      <c r="G25" s="8" t="n">
        <v>0</v>
      </c>
      <c r="H25" s="8" t="n">
        <v>0</v>
      </c>
      <c r="I25" s="43" t="s">
        <v>192</v>
      </c>
    </row>
    <row r="26" customFormat="false" ht="15" hidden="false" customHeight="true" outlineLevel="0" collapsed="false">
      <c r="A26" s="15" t="s">
        <v>193</v>
      </c>
      <c r="B26" s="5" t="s">
        <v>194</v>
      </c>
      <c r="C26" s="5" t="s">
        <v>190</v>
      </c>
      <c r="D26" s="40" t="s">
        <v>195</v>
      </c>
      <c r="E26" s="40" t="s">
        <v>196</v>
      </c>
      <c r="F26" s="5" t="s">
        <v>41</v>
      </c>
      <c r="G26" s="7" t="n">
        <v>24878</v>
      </c>
      <c r="H26" s="7" t="n">
        <v>2261.64</v>
      </c>
      <c r="I26" s="41"/>
    </row>
    <row r="27" customFormat="false" ht="15" hidden="false" customHeight="true" outlineLevel="0" collapsed="false">
      <c r="A27" s="15" t="s">
        <v>197</v>
      </c>
      <c r="B27" s="5" t="s">
        <v>198</v>
      </c>
      <c r="C27" s="5" t="s">
        <v>199</v>
      </c>
      <c r="D27" s="40" t="s">
        <v>179</v>
      </c>
      <c r="E27" s="40" t="s">
        <v>12</v>
      </c>
      <c r="F27" s="5" t="s">
        <v>34</v>
      </c>
      <c r="G27" s="7" t="n">
        <v>23615</v>
      </c>
      <c r="H27" s="7" t="n">
        <v>2146.82</v>
      </c>
      <c r="I27" s="41"/>
    </row>
    <row r="28" customFormat="false" ht="15" hidden="false" customHeight="true" outlineLevel="0" collapsed="false">
      <c r="A28" s="15" t="s">
        <v>200</v>
      </c>
      <c r="B28" s="5" t="s">
        <v>201</v>
      </c>
      <c r="C28" s="5" t="s">
        <v>202</v>
      </c>
      <c r="D28" s="40" t="s">
        <v>191</v>
      </c>
      <c r="E28" s="40" t="s">
        <v>18</v>
      </c>
      <c r="F28" s="5" t="s">
        <v>34</v>
      </c>
      <c r="G28" s="7" t="n">
        <v>12925</v>
      </c>
      <c r="H28" s="7" t="n">
        <v>1175</v>
      </c>
      <c r="I28" s="41"/>
    </row>
    <row r="29" customFormat="false" ht="15" hidden="false" customHeight="true" outlineLevel="0" collapsed="false">
      <c r="A29" s="15" t="s">
        <v>203</v>
      </c>
      <c r="B29" s="5" t="s">
        <v>204</v>
      </c>
      <c r="C29" s="5" t="s">
        <v>205</v>
      </c>
      <c r="D29" s="40" t="s">
        <v>14</v>
      </c>
      <c r="E29" s="40" t="s">
        <v>12</v>
      </c>
      <c r="F29" s="5" t="s">
        <v>34</v>
      </c>
      <c r="G29" s="7" t="n">
        <v>16488</v>
      </c>
      <c r="H29" s="7" t="n">
        <v>1498.91</v>
      </c>
      <c r="I29" s="41"/>
    </row>
    <row r="30" customFormat="false" ht="15" hidden="false" customHeight="true" outlineLevel="0" collapsed="false">
      <c r="A30" s="15" t="s">
        <v>206</v>
      </c>
      <c r="B30" s="5" t="s">
        <v>207</v>
      </c>
      <c r="C30" s="5" t="s">
        <v>208</v>
      </c>
      <c r="D30" s="40" t="s">
        <v>209</v>
      </c>
      <c r="E30" s="40" t="s">
        <v>12</v>
      </c>
      <c r="F30" s="5" t="s">
        <v>41</v>
      </c>
      <c r="G30" s="7" t="n">
        <v>15439</v>
      </c>
      <c r="H30" s="7" t="n">
        <v>1403.55</v>
      </c>
      <c r="I30" s="41"/>
    </row>
    <row r="31" customFormat="false" ht="15" hidden="false" customHeight="true" outlineLevel="0" collapsed="false">
      <c r="A31" s="15" t="s">
        <v>210</v>
      </c>
      <c r="B31" s="5" t="s">
        <v>211</v>
      </c>
      <c r="C31" s="5" t="s">
        <v>212</v>
      </c>
      <c r="D31" s="40" t="s">
        <v>18</v>
      </c>
      <c r="E31" s="40" t="s">
        <v>18</v>
      </c>
      <c r="F31" s="5" t="s">
        <v>34</v>
      </c>
      <c r="G31" s="7" t="n">
        <v>78848</v>
      </c>
      <c r="H31" s="7" t="n">
        <v>7168</v>
      </c>
      <c r="I31" s="41"/>
    </row>
    <row r="32" customFormat="false" ht="15" hidden="false" customHeight="true" outlineLevel="0" collapsed="false">
      <c r="A32" s="15" t="s">
        <v>213</v>
      </c>
      <c r="B32" s="5" t="s">
        <v>214</v>
      </c>
      <c r="C32" s="5" t="s">
        <v>215</v>
      </c>
      <c r="D32" s="40" t="s">
        <v>18</v>
      </c>
      <c r="E32" s="40" t="s">
        <v>18</v>
      </c>
      <c r="F32" s="5" t="s">
        <v>34</v>
      </c>
      <c r="G32" s="7" t="n">
        <v>45416.8</v>
      </c>
      <c r="H32" s="7" t="n">
        <v>4128.8</v>
      </c>
      <c r="I32" s="41"/>
    </row>
    <row r="33" customFormat="false" ht="15" hidden="false" customHeight="true" outlineLevel="0" collapsed="false">
      <c r="A33" s="15" t="s">
        <v>216</v>
      </c>
      <c r="B33" s="5" t="s">
        <v>217</v>
      </c>
      <c r="C33" s="5" t="s">
        <v>218</v>
      </c>
      <c r="D33" s="40" t="s">
        <v>16</v>
      </c>
      <c r="E33" s="40" t="s">
        <v>16</v>
      </c>
      <c r="F33" s="5" t="s">
        <v>34</v>
      </c>
      <c r="G33" s="7" t="n">
        <v>34986.6</v>
      </c>
      <c r="H33" s="7" t="n">
        <v>3180.6</v>
      </c>
      <c r="I33" s="41"/>
    </row>
    <row r="34" customFormat="false" ht="15" hidden="false" customHeight="true" outlineLevel="0" collapsed="false">
      <c r="A34" s="15" t="s">
        <v>219</v>
      </c>
      <c r="B34" s="5" t="s">
        <v>220</v>
      </c>
      <c r="C34" s="5" t="s">
        <v>221</v>
      </c>
      <c r="D34" s="40" t="s">
        <v>18</v>
      </c>
      <c r="E34" s="40" t="s">
        <v>18</v>
      </c>
      <c r="F34" s="5" t="s">
        <v>34</v>
      </c>
      <c r="G34" s="7" t="n">
        <v>26011.6</v>
      </c>
      <c r="H34" s="7" t="n">
        <v>2364.69</v>
      </c>
      <c r="I34" s="41"/>
    </row>
    <row r="35" customFormat="false" ht="15" hidden="false" customHeight="true" outlineLevel="0" collapsed="false">
      <c r="A35" s="15" t="s">
        <v>222</v>
      </c>
      <c r="B35" s="5" t="s">
        <v>223</v>
      </c>
      <c r="C35" s="5" t="s">
        <v>224</v>
      </c>
      <c r="D35" s="40" t="s">
        <v>18</v>
      </c>
      <c r="E35" s="40" t="s">
        <v>93</v>
      </c>
      <c r="F35" s="5" t="s">
        <v>34</v>
      </c>
      <c r="G35" s="7" t="n">
        <v>35698.8</v>
      </c>
      <c r="H35" s="7" t="n">
        <v>1622.67</v>
      </c>
      <c r="I35" s="41"/>
    </row>
    <row r="36" customFormat="false" ht="15" hidden="false" customHeight="true" outlineLevel="0" collapsed="false">
      <c r="A36" s="13" t="s">
        <v>225</v>
      </c>
      <c r="B36" s="14" t="s">
        <v>226</v>
      </c>
      <c r="C36" s="14" t="s">
        <v>227</v>
      </c>
      <c r="D36" s="42" t="s">
        <v>18</v>
      </c>
      <c r="E36" s="42" t="s">
        <v>18</v>
      </c>
      <c r="F36" s="14" t="s">
        <v>34</v>
      </c>
      <c r="G36" s="8" t="n">
        <v>0</v>
      </c>
      <c r="H36" s="8" t="n">
        <v>0</v>
      </c>
      <c r="I36" s="43" t="s">
        <v>192</v>
      </c>
    </row>
    <row r="37" customFormat="false" ht="15" hidden="false" customHeight="true" outlineLevel="0" collapsed="false">
      <c r="A37" s="13" t="s">
        <v>225</v>
      </c>
      <c r="B37" s="14" t="s">
        <v>228</v>
      </c>
      <c r="C37" s="14" t="s">
        <v>229</v>
      </c>
      <c r="D37" s="42" t="s">
        <v>93</v>
      </c>
      <c r="E37" s="42" t="s">
        <v>93</v>
      </c>
      <c r="F37" s="14" t="s">
        <v>34</v>
      </c>
      <c r="G37" s="8" t="n">
        <v>35000</v>
      </c>
      <c r="H37" s="8" t="n">
        <v>0</v>
      </c>
      <c r="I37" s="43" t="s">
        <v>230</v>
      </c>
    </row>
    <row r="38" customFormat="false" ht="15" hidden="false" customHeight="true" outlineLevel="0" collapsed="false">
      <c r="A38" s="15" t="s">
        <v>231</v>
      </c>
      <c r="B38" s="5" t="s">
        <v>232</v>
      </c>
      <c r="C38" s="5" t="s">
        <v>233</v>
      </c>
      <c r="D38" s="40" t="s">
        <v>16</v>
      </c>
      <c r="E38" s="40" t="s">
        <v>16</v>
      </c>
      <c r="F38" s="5" t="s">
        <v>34</v>
      </c>
      <c r="G38" s="7" t="n">
        <v>20594.6</v>
      </c>
      <c r="H38" s="7" t="n">
        <v>1872.24</v>
      </c>
      <c r="I38" s="41"/>
    </row>
    <row r="39" customFormat="false" ht="15" hidden="false" customHeight="true" outlineLevel="0" collapsed="false">
      <c r="A39" s="15" t="s">
        <v>234</v>
      </c>
      <c r="B39" s="5" t="s">
        <v>235</v>
      </c>
      <c r="C39" s="5" t="s">
        <v>236</v>
      </c>
      <c r="D39" s="40" t="s">
        <v>237</v>
      </c>
      <c r="E39" s="40" t="s">
        <v>158</v>
      </c>
      <c r="F39" s="5" t="s">
        <v>41</v>
      </c>
      <c r="G39" s="7" t="n">
        <v>37882.25</v>
      </c>
      <c r="H39" s="7" t="n">
        <v>3443.84</v>
      </c>
      <c r="I39" s="41"/>
    </row>
    <row r="40" customFormat="false" ht="15" hidden="false" customHeight="true" outlineLevel="0" collapsed="false">
      <c r="A40" s="15" t="s">
        <v>234</v>
      </c>
      <c r="B40" s="5" t="s">
        <v>238</v>
      </c>
      <c r="C40" s="5" t="s">
        <v>236</v>
      </c>
      <c r="D40" s="40" t="s">
        <v>158</v>
      </c>
      <c r="E40" s="40" t="s">
        <v>239</v>
      </c>
      <c r="F40" s="5" t="s">
        <v>41</v>
      </c>
      <c r="G40" s="7" t="n">
        <v>31267.25</v>
      </c>
      <c r="H40" s="7" t="n">
        <v>2842.48</v>
      </c>
      <c r="I40" s="41"/>
    </row>
    <row r="41" customFormat="false" ht="15" hidden="false" customHeight="true" outlineLevel="0" collapsed="false">
      <c r="A41" s="15" t="s">
        <v>240</v>
      </c>
      <c r="B41" s="5" t="s">
        <v>241</v>
      </c>
      <c r="C41" s="5" t="s">
        <v>236</v>
      </c>
      <c r="D41" s="40" t="s">
        <v>237</v>
      </c>
      <c r="E41" s="40" t="s">
        <v>242</v>
      </c>
      <c r="F41" s="5" t="s">
        <v>41</v>
      </c>
      <c r="G41" s="7" t="n">
        <v>22668</v>
      </c>
      <c r="H41" s="7" t="n">
        <v>2060.73</v>
      </c>
      <c r="I41" s="41"/>
    </row>
    <row r="42" customFormat="false" ht="15" hidden="false" customHeight="true" outlineLevel="0" collapsed="false">
      <c r="A42" s="15" t="s">
        <v>243</v>
      </c>
      <c r="B42" s="5" t="s">
        <v>244</v>
      </c>
      <c r="C42" s="5" t="s">
        <v>245</v>
      </c>
      <c r="D42" s="40" t="s">
        <v>158</v>
      </c>
      <c r="E42" s="40" t="s">
        <v>246</v>
      </c>
      <c r="F42" s="5" t="s">
        <v>41</v>
      </c>
      <c r="G42" s="7" t="n">
        <v>35548</v>
      </c>
      <c r="H42" s="7" t="n">
        <v>3231.64</v>
      </c>
      <c r="I42" s="41"/>
    </row>
    <row r="43" customFormat="false" ht="15" hidden="false" customHeight="true" outlineLevel="0" collapsed="false">
      <c r="A43" s="15" t="s">
        <v>247</v>
      </c>
      <c r="B43" s="5" t="s">
        <v>248</v>
      </c>
      <c r="C43" s="5" t="s">
        <v>249</v>
      </c>
      <c r="D43" s="40" t="s">
        <v>250</v>
      </c>
      <c r="E43" s="40" t="s">
        <v>158</v>
      </c>
      <c r="F43" s="5" t="s">
        <v>41</v>
      </c>
      <c r="G43" s="7" t="n">
        <v>24667</v>
      </c>
      <c r="H43" s="7" t="n">
        <v>2242.45</v>
      </c>
      <c r="I43" s="41"/>
    </row>
    <row r="44" customFormat="false" ht="15" hidden="false" customHeight="true" outlineLevel="0" collapsed="false">
      <c r="A44" s="15" t="s">
        <v>251</v>
      </c>
      <c r="B44" s="5" t="s">
        <v>252</v>
      </c>
      <c r="C44" s="5" t="s">
        <v>249</v>
      </c>
      <c r="D44" s="40" t="s">
        <v>166</v>
      </c>
      <c r="E44" s="40" t="s">
        <v>158</v>
      </c>
      <c r="F44" s="5" t="s">
        <v>41</v>
      </c>
      <c r="G44" s="7" t="n">
        <v>22630</v>
      </c>
      <c r="H44" s="7" t="n">
        <v>2057.27</v>
      </c>
      <c r="I44" s="41"/>
    </row>
    <row r="45" customFormat="false" ht="15" hidden="false" customHeight="true" outlineLevel="0" collapsed="false">
      <c r="A45" s="15" t="s">
        <v>253</v>
      </c>
      <c r="B45" s="5" t="s">
        <v>254</v>
      </c>
      <c r="C45" s="5" t="s">
        <v>255</v>
      </c>
      <c r="D45" s="40" t="s">
        <v>158</v>
      </c>
      <c r="E45" s="40" t="s">
        <v>256</v>
      </c>
      <c r="F45" s="5" t="s">
        <v>41</v>
      </c>
      <c r="G45" s="7" t="n">
        <v>36086</v>
      </c>
      <c r="H45" s="7" t="n">
        <v>3280.55</v>
      </c>
      <c r="I45" s="41"/>
    </row>
    <row r="46" customFormat="false" ht="15" hidden="false" customHeight="true" outlineLevel="0" collapsed="false">
      <c r="A46" s="15" t="s">
        <v>257</v>
      </c>
      <c r="B46" s="5" t="s">
        <v>258</v>
      </c>
      <c r="C46" s="5" t="s">
        <v>259</v>
      </c>
      <c r="D46" s="40" t="s">
        <v>12</v>
      </c>
      <c r="E46" s="40" t="s">
        <v>12</v>
      </c>
      <c r="F46" s="5" t="s">
        <v>34</v>
      </c>
      <c r="G46" s="7" t="n">
        <v>33761.6</v>
      </c>
      <c r="H46" s="7" t="n">
        <v>3069.24</v>
      </c>
      <c r="I46" s="41"/>
    </row>
    <row r="47" customFormat="false" ht="15" hidden="false" customHeight="true" outlineLevel="0" collapsed="false">
      <c r="A47" s="15" t="s">
        <v>260</v>
      </c>
      <c r="B47" s="5" t="s">
        <v>261</v>
      </c>
      <c r="C47" s="5" t="s">
        <v>262</v>
      </c>
      <c r="D47" s="40" t="s">
        <v>16</v>
      </c>
      <c r="E47" s="40" t="s">
        <v>18</v>
      </c>
      <c r="F47" s="5" t="s">
        <v>34</v>
      </c>
      <c r="G47" s="7" t="n">
        <v>27025.4</v>
      </c>
      <c r="H47" s="7" t="n">
        <v>2456.85</v>
      </c>
      <c r="I47" s="41"/>
    </row>
    <row r="48" customFormat="false" ht="15" hidden="false" customHeight="true" outlineLevel="0" collapsed="false">
      <c r="A48" s="15" t="s">
        <v>263</v>
      </c>
      <c r="B48" s="5" t="s">
        <v>264</v>
      </c>
      <c r="C48" s="5" t="s">
        <v>262</v>
      </c>
      <c r="D48" s="40" t="s">
        <v>265</v>
      </c>
      <c r="E48" s="40" t="s">
        <v>266</v>
      </c>
      <c r="F48" s="5" t="s">
        <v>41</v>
      </c>
      <c r="G48" s="7" t="n">
        <v>19261.6</v>
      </c>
      <c r="H48" s="7" t="n">
        <v>1751.05</v>
      </c>
      <c r="I48" s="41"/>
    </row>
    <row r="49" customFormat="false" ht="15" hidden="false" customHeight="true" outlineLevel="0" collapsed="false">
      <c r="A49" s="15" t="s">
        <v>267</v>
      </c>
      <c r="B49" s="5" t="s">
        <v>268</v>
      </c>
      <c r="C49" s="5" t="s">
        <v>269</v>
      </c>
      <c r="D49" s="40" t="s">
        <v>12</v>
      </c>
      <c r="E49" s="40" t="s">
        <v>171</v>
      </c>
      <c r="F49" s="5" t="s">
        <v>34</v>
      </c>
      <c r="G49" s="7" t="n">
        <v>53448.08</v>
      </c>
      <c r="H49" s="7" t="n">
        <v>4858.92</v>
      </c>
      <c r="I49" s="41"/>
    </row>
    <row r="50" customFormat="false" ht="15" hidden="false" customHeight="true" outlineLevel="0" collapsed="false">
      <c r="A50" s="15" t="s">
        <v>270</v>
      </c>
      <c r="B50" s="5" t="s">
        <v>271</v>
      </c>
      <c r="C50" s="5" t="s">
        <v>272</v>
      </c>
      <c r="D50" s="40" t="s">
        <v>273</v>
      </c>
      <c r="E50" s="40" t="s">
        <v>274</v>
      </c>
      <c r="F50" s="5" t="s">
        <v>41</v>
      </c>
      <c r="G50" s="7" t="n">
        <v>23526.6</v>
      </c>
      <c r="H50" s="7" t="n">
        <v>2138.78</v>
      </c>
      <c r="I50" s="41"/>
    </row>
    <row r="51" customFormat="false" ht="15" hidden="false" customHeight="true" outlineLevel="0" collapsed="false">
      <c r="A51" s="15" t="s">
        <v>275</v>
      </c>
      <c r="B51" s="5" t="s">
        <v>276</v>
      </c>
      <c r="C51" s="5" t="s">
        <v>272</v>
      </c>
      <c r="D51" s="40" t="s">
        <v>273</v>
      </c>
      <c r="E51" s="40" t="s">
        <v>274</v>
      </c>
      <c r="F51" s="5" t="s">
        <v>41</v>
      </c>
      <c r="G51" s="7" t="n">
        <v>29199.2</v>
      </c>
      <c r="H51" s="7" t="n">
        <v>2654.47</v>
      </c>
      <c r="I51" s="41"/>
    </row>
    <row r="52" customFormat="false" ht="15" hidden="false" customHeight="true" outlineLevel="0" collapsed="false">
      <c r="A52" s="15" t="s">
        <v>277</v>
      </c>
      <c r="B52" s="5" t="s">
        <v>278</v>
      </c>
      <c r="C52" s="5" t="s">
        <v>279</v>
      </c>
      <c r="D52" s="40" t="s">
        <v>280</v>
      </c>
      <c r="E52" s="40" t="s">
        <v>281</v>
      </c>
      <c r="F52" s="5" t="s">
        <v>41</v>
      </c>
      <c r="G52" s="7" t="n">
        <v>24250</v>
      </c>
      <c r="H52" s="7" t="n">
        <v>2204.55</v>
      </c>
      <c r="I52" s="41"/>
    </row>
    <row r="53" customFormat="false" ht="15" hidden="false" customHeight="true" outlineLevel="0" collapsed="false">
      <c r="A53" s="15" t="s">
        <v>282</v>
      </c>
      <c r="B53" s="5" t="s">
        <v>283</v>
      </c>
      <c r="C53" s="5" t="s">
        <v>279</v>
      </c>
      <c r="D53" s="40" t="s">
        <v>273</v>
      </c>
      <c r="E53" s="40" t="s">
        <v>274</v>
      </c>
      <c r="F53" s="5" t="s">
        <v>41</v>
      </c>
      <c r="G53" s="7" t="n">
        <v>38748.2</v>
      </c>
      <c r="H53" s="7" t="n">
        <v>3522.56</v>
      </c>
      <c r="I53" s="41"/>
    </row>
    <row r="54" customFormat="false" ht="15" hidden="false" customHeight="true" outlineLevel="0" collapsed="false">
      <c r="A54" s="15" t="s">
        <v>284</v>
      </c>
      <c r="B54" s="5" t="s">
        <v>285</v>
      </c>
      <c r="C54" s="5" t="s">
        <v>286</v>
      </c>
      <c r="D54" s="40" t="s">
        <v>273</v>
      </c>
      <c r="E54" s="40" t="s">
        <v>274</v>
      </c>
      <c r="F54" s="5" t="s">
        <v>41</v>
      </c>
      <c r="G54" s="7" t="n">
        <v>14851.2</v>
      </c>
      <c r="H54" s="7" t="n">
        <v>1350.11</v>
      </c>
      <c r="I54" s="41"/>
    </row>
    <row r="55" customFormat="false" ht="15" hidden="false" customHeight="true" outlineLevel="0" collapsed="false">
      <c r="A55" s="15" t="s">
        <v>287</v>
      </c>
      <c r="B55" s="5" t="s">
        <v>288</v>
      </c>
      <c r="C55" s="5" t="s">
        <v>286</v>
      </c>
      <c r="D55" s="40" t="s">
        <v>273</v>
      </c>
      <c r="E55" s="40" t="s">
        <v>274</v>
      </c>
      <c r="F55" s="5" t="s">
        <v>41</v>
      </c>
      <c r="G55" s="7" t="n">
        <v>32097.6</v>
      </c>
      <c r="H55" s="7" t="n">
        <v>2917.96</v>
      </c>
      <c r="I55" s="41"/>
    </row>
    <row r="56" customFormat="false" ht="15" hidden="false" customHeight="true" outlineLevel="0" collapsed="false">
      <c r="A56" s="15" t="s">
        <v>289</v>
      </c>
      <c r="B56" s="5" t="s">
        <v>290</v>
      </c>
      <c r="C56" s="5" t="s">
        <v>291</v>
      </c>
      <c r="D56" s="40" t="s">
        <v>16</v>
      </c>
      <c r="E56" s="40" t="s">
        <v>16</v>
      </c>
      <c r="F56" s="5" t="s">
        <v>34</v>
      </c>
      <c r="G56" s="7" t="n">
        <v>71953.2</v>
      </c>
      <c r="H56" s="7" t="n">
        <v>6541.2</v>
      </c>
      <c r="I56" s="41"/>
    </row>
    <row r="57" customFormat="false" ht="15" hidden="false" customHeight="true" outlineLevel="0" collapsed="false">
      <c r="A57" s="15" t="s">
        <v>292</v>
      </c>
      <c r="B57" s="5" t="s">
        <v>293</v>
      </c>
      <c r="C57" s="5" t="s">
        <v>294</v>
      </c>
      <c r="D57" s="40" t="s">
        <v>18</v>
      </c>
      <c r="E57" s="40" t="s">
        <v>18</v>
      </c>
      <c r="F57" s="5" t="s">
        <v>34</v>
      </c>
      <c r="G57" s="7" t="n">
        <v>31049.2</v>
      </c>
      <c r="H57" s="7" t="n">
        <v>2822.65</v>
      </c>
      <c r="I57" s="41"/>
    </row>
    <row r="58" customFormat="false" ht="15" hidden="false" customHeight="true" outlineLevel="0" collapsed="false">
      <c r="A58" s="15" t="s">
        <v>295</v>
      </c>
      <c r="B58" s="5" t="s">
        <v>296</v>
      </c>
      <c r="C58" s="5" t="s">
        <v>297</v>
      </c>
      <c r="D58" s="40" t="s">
        <v>265</v>
      </c>
      <c r="E58" s="40" t="s">
        <v>266</v>
      </c>
      <c r="F58" s="5" t="s">
        <v>41</v>
      </c>
      <c r="G58" s="7" t="n">
        <v>48152.8</v>
      </c>
      <c r="H58" s="7" t="n">
        <v>4377.53</v>
      </c>
      <c r="I58" s="41"/>
    </row>
    <row r="59" customFormat="false" ht="15" hidden="false" customHeight="true" outlineLevel="0" collapsed="false">
      <c r="A59" s="15" t="s">
        <v>298</v>
      </c>
      <c r="B59" s="5" t="s">
        <v>299</v>
      </c>
      <c r="C59" s="5" t="s">
        <v>300</v>
      </c>
      <c r="D59" s="40" t="s">
        <v>265</v>
      </c>
      <c r="E59" s="40" t="s">
        <v>266</v>
      </c>
      <c r="F59" s="5" t="s">
        <v>41</v>
      </c>
      <c r="G59" s="7" t="n">
        <v>30114</v>
      </c>
      <c r="H59" s="7" t="n">
        <v>2737.64</v>
      </c>
      <c r="I59" s="41"/>
    </row>
    <row r="60" customFormat="false" ht="15" hidden="false" customHeight="true" outlineLevel="0" collapsed="false">
      <c r="A60" s="15" t="s">
        <v>301</v>
      </c>
      <c r="B60" s="5" t="s">
        <v>302</v>
      </c>
      <c r="C60" s="5" t="s">
        <v>300</v>
      </c>
      <c r="D60" s="40" t="s">
        <v>265</v>
      </c>
      <c r="E60" s="40" t="s">
        <v>266</v>
      </c>
      <c r="F60" s="5" t="s">
        <v>41</v>
      </c>
      <c r="G60" s="7" t="n">
        <v>30394.4</v>
      </c>
      <c r="H60" s="7" t="n">
        <v>2763.13</v>
      </c>
      <c r="I60" s="41"/>
    </row>
    <row r="61" customFormat="false" ht="15" hidden="false" customHeight="true" outlineLevel="0" collapsed="false">
      <c r="A61" s="15" t="s">
        <v>303</v>
      </c>
      <c r="B61" s="5" t="s">
        <v>304</v>
      </c>
      <c r="C61" s="5" t="s">
        <v>305</v>
      </c>
      <c r="D61" s="40" t="s">
        <v>18</v>
      </c>
      <c r="E61" s="40" t="s">
        <v>18</v>
      </c>
      <c r="F61" s="5" t="s">
        <v>34</v>
      </c>
      <c r="G61" s="7" t="n">
        <v>29890</v>
      </c>
      <c r="H61" s="7" t="n">
        <v>2717.27</v>
      </c>
      <c r="I61" s="41"/>
    </row>
    <row r="62" customFormat="false" ht="15" hidden="false" customHeight="true" outlineLevel="0" collapsed="false">
      <c r="A62" s="15" t="s">
        <v>306</v>
      </c>
      <c r="B62" s="5" t="s">
        <v>307</v>
      </c>
      <c r="C62" s="5" t="s">
        <v>305</v>
      </c>
      <c r="D62" s="40" t="s">
        <v>265</v>
      </c>
      <c r="E62" s="40" t="s">
        <v>266</v>
      </c>
      <c r="F62" s="5" t="s">
        <v>41</v>
      </c>
      <c r="G62" s="7" t="n">
        <v>27098.8</v>
      </c>
      <c r="H62" s="7" t="n">
        <v>2463.53</v>
      </c>
      <c r="I62" s="41"/>
    </row>
    <row r="63" customFormat="false" ht="15" hidden="false" customHeight="true" outlineLevel="0" collapsed="false">
      <c r="A63" s="13" t="s">
        <v>308</v>
      </c>
      <c r="B63" s="14" t="s">
        <v>309</v>
      </c>
      <c r="C63" s="14" t="s">
        <v>310</v>
      </c>
      <c r="D63" s="42" t="s">
        <v>93</v>
      </c>
      <c r="E63" s="42" t="s">
        <v>93</v>
      </c>
      <c r="F63" s="14" t="s">
        <v>34</v>
      </c>
      <c r="G63" s="8" t="n">
        <v>16511.6</v>
      </c>
      <c r="H63" s="8" t="n">
        <v>0</v>
      </c>
      <c r="I63" s="43" t="s">
        <v>230</v>
      </c>
    </row>
    <row r="64" customFormat="false" ht="15" hidden="false" customHeight="true" outlineLevel="0" collapsed="false">
      <c r="A64" s="15" t="s">
        <v>311</v>
      </c>
      <c r="B64" s="5" t="s">
        <v>312</v>
      </c>
      <c r="C64" s="5" t="s">
        <v>313</v>
      </c>
      <c r="D64" s="40" t="s">
        <v>16</v>
      </c>
      <c r="E64" s="40" t="s">
        <v>16</v>
      </c>
      <c r="F64" s="5" t="s">
        <v>34</v>
      </c>
      <c r="G64" s="7" t="n">
        <v>18139.6</v>
      </c>
      <c r="H64" s="7" t="n">
        <v>1649.05</v>
      </c>
      <c r="I64" s="41"/>
    </row>
    <row r="65" customFormat="false" ht="15" hidden="false" customHeight="true" outlineLevel="0" collapsed="false">
      <c r="A65" s="15" t="s">
        <v>314</v>
      </c>
      <c r="B65" s="5" t="s">
        <v>315</v>
      </c>
      <c r="C65" s="5" t="s">
        <v>316</v>
      </c>
      <c r="D65" s="40" t="s">
        <v>175</v>
      </c>
      <c r="E65" s="40" t="s">
        <v>18</v>
      </c>
      <c r="F65" s="5" t="s">
        <v>34</v>
      </c>
      <c r="G65" s="7" t="n">
        <v>19415.1</v>
      </c>
      <c r="H65" s="7" t="n">
        <v>1559.36</v>
      </c>
      <c r="I65" s="41"/>
    </row>
    <row r="66" customFormat="false" ht="15" hidden="false" customHeight="true" outlineLevel="0" collapsed="false">
      <c r="A66" s="15" t="s">
        <v>317</v>
      </c>
      <c r="B66" s="5" t="s">
        <v>318</v>
      </c>
      <c r="C66" s="5" t="s">
        <v>319</v>
      </c>
      <c r="D66" s="40" t="s">
        <v>18</v>
      </c>
      <c r="E66" s="40" t="s">
        <v>18</v>
      </c>
      <c r="F66" s="5" t="s">
        <v>34</v>
      </c>
      <c r="G66" s="7" t="n">
        <v>57409.2</v>
      </c>
      <c r="H66" s="7" t="n">
        <v>5219.02</v>
      </c>
      <c r="I66" s="41"/>
    </row>
    <row r="67" customFormat="false" ht="15" hidden="false" customHeight="true" outlineLevel="0" collapsed="false">
      <c r="A67" s="15" t="s">
        <v>320</v>
      </c>
      <c r="B67" s="5" t="s">
        <v>321</v>
      </c>
      <c r="C67" s="5" t="s">
        <v>322</v>
      </c>
      <c r="D67" s="40" t="s">
        <v>18</v>
      </c>
      <c r="E67" s="40" t="s">
        <v>18</v>
      </c>
      <c r="F67" s="5" t="s">
        <v>34</v>
      </c>
      <c r="G67" s="7" t="n">
        <v>36436.2</v>
      </c>
      <c r="H67" s="7" t="n">
        <v>3312.38</v>
      </c>
      <c r="I67" s="41"/>
    </row>
    <row r="68" customFormat="false" ht="15" hidden="false" customHeight="true" outlineLevel="0" collapsed="false">
      <c r="A68" s="15" t="s">
        <v>323</v>
      </c>
      <c r="B68" s="5" t="s">
        <v>324</v>
      </c>
      <c r="C68" s="5" t="s">
        <v>325</v>
      </c>
      <c r="D68" s="40" t="s">
        <v>326</v>
      </c>
      <c r="E68" s="40" t="s">
        <v>327</v>
      </c>
      <c r="F68" s="5" t="s">
        <v>41</v>
      </c>
      <c r="G68" s="7" t="n">
        <v>29420.2</v>
      </c>
      <c r="H68" s="7" t="n">
        <v>2674.56</v>
      </c>
      <c r="I68" s="41"/>
    </row>
    <row r="69" customFormat="false" ht="15" hidden="false" customHeight="true" outlineLevel="0" collapsed="false">
      <c r="A69" s="15" t="s">
        <v>328</v>
      </c>
      <c r="B69" s="5" t="s">
        <v>329</v>
      </c>
      <c r="C69" s="5" t="s">
        <v>330</v>
      </c>
      <c r="D69" s="40" t="s">
        <v>16</v>
      </c>
      <c r="E69" s="40" t="s">
        <v>18</v>
      </c>
      <c r="F69" s="5" t="s">
        <v>34</v>
      </c>
      <c r="G69" s="7" t="n">
        <v>12877.6</v>
      </c>
      <c r="H69" s="7" t="n">
        <v>1170.69</v>
      </c>
      <c r="I69" s="41"/>
    </row>
    <row r="70" customFormat="false" ht="15" hidden="false" customHeight="true" outlineLevel="0" collapsed="false">
      <c r="A70" s="15" t="s">
        <v>331</v>
      </c>
      <c r="B70" s="5" t="s">
        <v>332</v>
      </c>
      <c r="C70" s="5" t="s">
        <v>333</v>
      </c>
      <c r="D70" s="40" t="s">
        <v>16</v>
      </c>
      <c r="E70" s="40" t="s">
        <v>16</v>
      </c>
      <c r="F70" s="5" t="s">
        <v>34</v>
      </c>
      <c r="G70" s="7" t="n">
        <v>21878</v>
      </c>
      <c r="H70" s="7" t="n">
        <v>1988.91</v>
      </c>
      <c r="I70" s="41"/>
    </row>
    <row r="71" customFormat="false" ht="15" hidden="false" customHeight="true" outlineLevel="0" collapsed="false">
      <c r="A71" s="15" t="s">
        <v>334</v>
      </c>
      <c r="B71" s="5" t="s">
        <v>335</v>
      </c>
      <c r="C71" s="5" t="s">
        <v>336</v>
      </c>
      <c r="D71" s="40" t="s">
        <v>18</v>
      </c>
      <c r="E71" s="40" t="s">
        <v>18</v>
      </c>
      <c r="F71" s="5" t="s">
        <v>34</v>
      </c>
      <c r="G71" s="7" t="n">
        <v>15218</v>
      </c>
      <c r="H71" s="7" t="n">
        <v>1383.45</v>
      </c>
      <c r="I71" s="41"/>
    </row>
    <row r="72" customFormat="false" ht="15" hidden="false" customHeight="true" outlineLevel="0" collapsed="false">
      <c r="A72" s="15" t="s">
        <v>337</v>
      </c>
      <c r="B72" s="5" t="s">
        <v>338</v>
      </c>
      <c r="C72" s="5" t="s">
        <v>339</v>
      </c>
      <c r="D72" s="40" t="s">
        <v>16</v>
      </c>
      <c r="E72" s="40" t="s">
        <v>18</v>
      </c>
      <c r="F72" s="5" t="s">
        <v>34</v>
      </c>
      <c r="G72" s="7" t="n">
        <v>5000</v>
      </c>
      <c r="H72" s="7" t="n">
        <v>454.55</v>
      </c>
      <c r="I72" s="41"/>
    </row>
    <row r="73" customFormat="false" ht="15" hidden="false" customHeight="true" outlineLevel="0" collapsed="false">
      <c r="A73" s="15" t="s">
        <v>340</v>
      </c>
      <c r="B73" s="5" t="s">
        <v>341</v>
      </c>
      <c r="C73" s="5" t="s">
        <v>342</v>
      </c>
      <c r="D73" s="40" t="s">
        <v>16</v>
      </c>
      <c r="E73" s="40" t="s">
        <v>16</v>
      </c>
      <c r="F73" s="5" t="s">
        <v>34</v>
      </c>
      <c r="G73" s="7" t="n">
        <v>8175</v>
      </c>
      <c r="H73" s="7" t="n">
        <v>743.18</v>
      </c>
      <c r="I73" s="41"/>
    </row>
    <row r="74" customFormat="false" ht="15" hidden="false" customHeight="true" outlineLevel="0" collapsed="false">
      <c r="A74" s="15" t="s">
        <v>343</v>
      </c>
      <c r="B74" s="5" t="s">
        <v>344</v>
      </c>
      <c r="C74" s="5" t="s">
        <v>345</v>
      </c>
      <c r="D74" s="40" t="s">
        <v>18</v>
      </c>
      <c r="E74" s="40" t="s">
        <v>18</v>
      </c>
      <c r="F74" s="5" t="s">
        <v>34</v>
      </c>
      <c r="G74" s="7" t="n">
        <v>15535.6</v>
      </c>
      <c r="H74" s="7" t="n">
        <v>1412.33</v>
      </c>
      <c r="I74" s="41"/>
    </row>
    <row r="75" customFormat="false" ht="15" hidden="false" customHeight="true" outlineLevel="0" collapsed="false">
      <c r="A75" s="15" t="s">
        <v>346</v>
      </c>
      <c r="B75" s="5" t="s">
        <v>347</v>
      </c>
      <c r="C75" s="5" t="s">
        <v>348</v>
      </c>
      <c r="D75" s="40" t="s">
        <v>326</v>
      </c>
      <c r="E75" s="40" t="s">
        <v>327</v>
      </c>
      <c r="F75" s="5" t="s">
        <v>41</v>
      </c>
      <c r="G75" s="7" t="n">
        <v>22201</v>
      </c>
      <c r="H75" s="7" t="n">
        <v>2018.27</v>
      </c>
      <c r="I75" s="41"/>
    </row>
    <row r="76" customFormat="false" ht="15" hidden="false" customHeight="true" outlineLevel="0" collapsed="false">
      <c r="A76" s="15" t="s">
        <v>349</v>
      </c>
      <c r="B76" s="5" t="s">
        <v>350</v>
      </c>
      <c r="C76" s="5" t="s">
        <v>351</v>
      </c>
      <c r="D76" s="40" t="s">
        <v>18</v>
      </c>
      <c r="E76" s="40" t="s">
        <v>18</v>
      </c>
      <c r="F76" s="5" t="s">
        <v>34</v>
      </c>
      <c r="G76" s="7" t="n">
        <v>13527.6</v>
      </c>
      <c r="H76" s="7" t="n">
        <v>1229.78</v>
      </c>
      <c r="I76" s="41"/>
    </row>
    <row r="77" customFormat="false" ht="15" hidden="false" customHeight="true" outlineLevel="0" collapsed="false">
      <c r="A77" s="15" t="s">
        <v>352</v>
      </c>
      <c r="B77" s="5" t="s">
        <v>353</v>
      </c>
      <c r="C77" s="5" t="s">
        <v>351</v>
      </c>
      <c r="D77" s="40" t="s">
        <v>18</v>
      </c>
      <c r="E77" s="40" t="s">
        <v>18</v>
      </c>
      <c r="F77" s="5" t="s">
        <v>34</v>
      </c>
      <c r="G77" s="7" t="n">
        <v>10729</v>
      </c>
      <c r="H77" s="7" t="n">
        <v>975.36</v>
      </c>
      <c r="I77" s="41"/>
    </row>
    <row r="78" customFormat="false" ht="15" hidden="false" customHeight="true" outlineLevel="0" collapsed="false">
      <c r="A78" s="15" t="s">
        <v>354</v>
      </c>
      <c r="B78" s="5" t="s">
        <v>355</v>
      </c>
      <c r="C78" s="5" t="s">
        <v>356</v>
      </c>
      <c r="D78" s="40" t="s">
        <v>326</v>
      </c>
      <c r="E78" s="40" t="s">
        <v>327</v>
      </c>
      <c r="F78" s="5" t="s">
        <v>41</v>
      </c>
      <c r="G78" s="7" t="n">
        <v>17583</v>
      </c>
      <c r="H78" s="7" t="n">
        <v>1598.45</v>
      </c>
      <c r="I78" s="41"/>
    </row>
    <row r="79" customFormat="false" ht="15" hidden="false" customHeight="true" outlineLevel="0" collapsed="false">
      <c r="A79" s="15" t="s">
        <v>357</v>
      </c>
      <c r="B79" s="5" t="s">
        <v>358</v>
      </c>
      <c r="C79" s="5" t="s">
        <v>359</v>
      </c>
      <c r="D79" s="40" t="s">
        <v>93</v>
      </c>
      <c r="E79" s="40" t="s">
        <v>18</v>
      </c>
      <c r="F79" s="5" t="s">
        <v>34</v>
      </c>
      <c r="G79" s="7" t="n">
        <v>4000</v>
      </c>
      <c r="H79" s="7" t="n">
        <v>181.82</v>
      </c>
      <c r="I79" s="41"/>
    </row>
    <row r="80" customFormat="false" ht="15" hidden="false" customHeight="true" outlineLevel="0" collapsed="false">
      <c r="A80" s="15" t="s">
        <v>360</v>
      </c>
      <c r="B80" s="5" t="s">
        <v>361</v>
      </c>
      <c r="C80" s="5" t="s">
        <v>359</v>
      </c>
      <c r="D80" s="40" t="s">
        <v>18</v>
      </c>
      <c r="E80" s="40" t="s">
        <v>18</v>
      </c>
      <c r="F80" s="5" t="s">
        <v>34</v>
      </c>
      <c r="G80" s="7" t="n">
        <v>5000</v>
      </c>
      <c r="H80" s="7" t="n">
        <v>454.55</v>
      </c>
      <c r="I80" s="41"/>
    </row>
    <row r="81" customFormat="false" ht="15" hidden="false" customHeight="true" outlineLevel="0" collapsed="false">
      <c r="A81" s="15" t="s">
        <v>362</v>
      </c>
      <c r="B81" s="5" t="s">
        <v>363</v>
      </c>
      <c r="C81" s="5" t="s">
        <v>364</v>
      </c>
      <c r="D81" s="40" t="s">
        <v>18</v>
      </c>
      <c r="E81" s="40" t="s">
        <v>18</v>
      </c>
      <c r="F81" s="5" t="s">
        <v>34</v>
      </c>
      <c r="G81" s="7" t="n">
        <v>5250</v>
      </c>
      <c r="H81" s="7" t="n">
        <v>477.27</v>
      </c>
      <c r="I81" s="41"/>
    </row>
    <row r="82" customFormat="false" ht="15" hidden="false" customHeight="true" outlineLevel="0" collapsed="false">
      <c r="A82" s="15" t="s">
        <v>365</v>
      </c>
      <c r="B82" s="5" t="s">
        <v>366</v>
      </c>
      <c r="C82" s="5" t="s">
        <v>367</v>
      </c>
      <c r="D82" s="40" t="s">
        <v>18</v>
      </c>
      <c r="E82" s="40" t="s">
        <v>18</v>
      </c>
      <c r="F82" s="5" t="s">
        <v>34</v>
      </c>
      <c r="G82" s="7" t="n">
        <v>10000</v>
      </c>
      <c r="H82" s="7" t="n">
        <v>909.09</v>
      </c>
      <c r="I82" s="41"/>
    </row>
    <row r="83" customFormat="false" ht="15" hidden="false" customHeight="true" outlineLevel="0" collapsed="false">
      <c r="A83" s="15" t="s">
        <v>368</v>
      </c>
      <c r="B83" s="5" t="s">
        <v>369</v>
      </c>
      <c r="C83" s="5" t="s">
        <v>370</v>
      </c>
      <c r="D83" s="40" t="s">
        <v>18</v>
      </c>
      <c r="E83" s="40" t="s">
        <v>18</v>
      </c>
      <c r="F83" s="5" t="s">
        <v>34</v>
      </c>
      <c r="G83" s="7" t="n">
        <v>150</v>
      </c>
      <c r="H83" s="7" t="n">
        <v>13.64</v>
      </c>
      <c r="I83" s="41"/>
    </row>
    <row r="84" customFormat="false" ht="15" hidden="false" customHeight="true" outlineLevel="0" collapsed="false">
      <c r="A84" s="15" t="s">
        <v>371</v>
      </c>
      <c r="B84" s="5" t="s">
        <v>372</v>
      </c>
      <c r="C84" s="5" t="s">
        <v>373</v>
      </c>
      <c r="D84" s="40" t="s">
        <v>18</v>
      </c>
      <c r="E84" s="40" t="s">
        <v>18</v>
      </c>
      <c r="F84" s="5" t="s">
        <v>34</v>
      </c>
      <c r="G84" s="7" t="n">
        <v>20000</v>
      </c>
      <c r="H84" s="7" t="n">
        <v>1818.18</v>
      </c>
      <c r="I84" s="41"/>
    </row>
    <row r="85" customFormat="false" ht="15" hidden="false" customHeight="true" outlineLevel="0" collapsed="false">
      <c r="A85" s="15" t="s">
        <v>374</v>
      </c>
      <c r="B85" s="5" t="s">
        <v>375</v>
      </c>
      <c r="C85" s="5" t="s">
        <v>376</v>
      </c>
      <c r="D85" s="40" t="s">
        <v>18</v>
      </c>
      <c r="E85" s="40" t="s">
        <v>18</v>
      </c>
      <c r="F85" s="5" t="s">
        <v>34</v>
      </c>
      <c r="G85" s="7" t="n">
        <v>5000</v>
      </c>
      <c r="H85" s="7" t="n">
        <v>454.55</v>
      </c>
      <c r="I85" s="41"/>
    </row>
    <row r="86" customFormat="false" ht="15" hidden="false" customHeight="true" outlineLevel="0" collapsed="false">
      <c r="A86" s="15" t="s">
        <v>377</v>
      </c>
      <c r="B86" s="5" t="s">
        <v>378</v>
      </c>
      <c r="C86" s="5" t="s">
        <v>379</v>
      </c>
      <c r="D86" s="40" t="s">
        <v>18</v>
      </c>
      <c r="E86" s="40" t="s">
        <v>18</v>
      </c>
      <c r="F86" s="5" t="s">
        <v>34</v>
      </c>
      <c r="G86" s="7" t="n">
        <v>5500</v>
      </c>
      <c r="H86" s="7" t="n">
        <v>500</v>
      </c>
      <c r="I86" s="41"/>
    </row>
    <row r="87" customFormat="false" ht="15" hidden="false" customHeight="true" outlineLevel="0" collapsed="false">
      <c r="B87" s="18" t="s">
        <v>380</v>
      </c>
      <c r="G87" s="34" t="n">
        <f aca="false">SUM(G11:G86)</f>
        <v>1904462.68</v>
      </c>
      <c r="H87" s="44" t="n">
        <f aca="false">SUM(H11:H86)</f>
        <v>163655.6</v>
      </c>
      <c r="I87" s="12" t="s">
        <v>381</v>
      </c>
    </row>
  </sheetData>
  <mergeCells count="1">
    <mergeCell ref="A7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382</v>
      </c>
    </row>
    <row r="3" customFormat="false" ht="15" hidden="false" customHeight="true" outlineLevel="0" collapsed="false">
      <c r="A3" s="31"/>
    </row>
    <row r="4" customFormat="false" ht="15" hidden="false" customHeight="true" outlineLevel="0" collapsed="false">
      <c r="A4" s="45" t="s">
        <v>383</v>
      </c>
    </row>
    <row r="5" customFormat="false" ht="15" hidden="false" customHeight="true" outlineLevel="0" collapsed="false">
      <c r="A5" s="31" t="s">
        <v>384</v>
      </c>
    </row>
    <row r="6" customFormat="false" ht="15" hidden="false" customHeight="true" outlineLevel="0" collapsed="false">
      <c r="A6" s="31" t="s">
        <v>385</v>
      </c>
    </row>
    <row r="7" customFormat="false" ht="15" hidden="false" customHeight="true" outlineLevel="0" collapsed="false">
      <c r="A7" s="31" t="s">
        <v>386</v>
      </c>
    </row>
    <row r="8" customFormat="false" ht="15" hidden="false" customHeight="true" outlineLevel="0" collapsed="false">
      <c r="A8" s="31"/>
    </row>
    <row r="9" customFormat="false" ht="15" hidden="false" customHeight="true" outlineLevel="0" collapsed="false">
      <c r="A9" s="45" t="s">
        <v>387</v>
      </c>
    </row>
    <row r="10" customFormat="false" ht="15" hidden="false" customHeight="true" outlineLevel="0" collapsed="false">
      <c r="A10" s="31" t="s">
        <v>388</v>
      </c>
    </row>
    <row r="11" customFormat="false" ht="15" hidden="false" customHeight="true" outlineLevel="0" collapsed="false">
      <c r="A11" s="31" t="s">
        <v>389</v>
      </c>
    </row>
    <row r="12" customFormat="false" ht="15" hidden="false" customHeight="true" outlineLevel="0" collapsed="false">
      <c r="A12" s="31" t="s">
        <v>390</v>
      </c>
    </row>
    <row r="13" customFormat="false" ht="15" hidden="false" customHeight="true" outlineLevel="0" collapsed="false">
      <c r="A13" s="31" t="s">
        <v>391</v>
      </c>
    </row>
    <row r="14" customFormat="false" ht="15" hidden="false" customHeight="true" outlineLevel="0" collapsed="false">
      <c r="A14" s="31" t="s">
        <v>392</v>
      </c>
    </row>
    <row r="15" customFormat="false" ht="15" hidden="false" customHeight="true" outlineLevel="0" collapsed="false">
      <c r="A15" s="31"/>
    </row>
    <row r="16" customFormat="false" ht="15" hidden="false" customHeight="true" outlineLevel="0" collapsed="false">
      <c r="A16" s="45" t="s">
        <v>393</v>
      </c>
    </row>
    <row r="17" customFormat="false" ht="15" hidden="false" customHeight="true" outlineLevel="0" collapsed="false">
      <c r="A17" s="31" t="s">
        <v>394</v>
      </c>
    </row>
    <row r="18" customFormat="false" ht="15" hidden="false" customHeight="true" outlineLevel="0" collapsed="false">
      <c r="A18" s="31" t="s">
        <v>395</v>
      </c>
    </row>
    <row r="19" customFormat="false" ht="15" hidden="false" customHeight="true" outlineLevel="0" collapsed="false">
      <c r="A19" s="31" t="s">
        <v>396</v>
      </c>
    </row>
    <row r="20" customFormat="false" ht="15" hidden="false" customHeight="true" outlineLevel="0" collapsed="false">
      <c r="A20" s="31" t="s">
        <v>397</v>
      </c>
    </row>
    <row r="21" customFormat="false" ht="15" hidden="false" customHeight="true" outlineLevel="0" collapsed="false">
      <c r="A21" s="31"/>
    </row>
    <row r="22" customFormat="false" ht="15" hidden="false" customHeight="true" outlineLevel="0" collapsed="false">
      <c r="A22" s="45" t="s">
        <v>398</v>
      </c>
    </row>
    <row r="23" customFormat="false" ht="15" hidden="false" customHeight="true" outlineLevel="0" collapsed="false">
      <c r="A23" s="31" t="s">
        <v>399</v>
      </c>
    </row>
    <row r="24" customFormat="false" ht="15" hidden="false" customHeight="true" outlineLevel="0" collapsed="false">
      <c r="A24" s="31" t="s">
        <v>400</v>
      </c>
    </row>
    <row r="25" customFormat="false" ht="15" hidden="false" customHeight="true" outlineLevel="0" collapsed="false">
      <c r="A25" s="31" t="s">
        <v>401</v>
      </c>
    </row>
    <row r="26" customFormat="false" ht="15" hidden="false" customHeight="true" outlineLevel="0" collapsed="false">
      <c r="A26" s="31" t="s">
        <v>402</v>
      </c>
    </row>
    <row r="27" customFormat="false" ht="15" hidden="false" customHeight="true" outlineLevel="0" collapsed="false">
      <c r="A27" s="31" t="s">
        <v>403</v>
      </c>
    </row>
    <row r="28" customFormat="false" ht="15" hidden="false" customHeight="true" outlineLevel="0" collapsed="false">
      <c r="A28" s="31"/>
    </row>
    <row r="29" customFormat="false" ht="15" hidden="false" customHeight="true" outlineLevel="0" collapsed="false">
      <c r="A29" s="45" t="s">
        <v>404</v>
      </c>
    </row>
    <row r="30" customFormat="false" ht="15" hidden="false" customHeight="true" outlineLevel="0" collapsed="false">
      <c r="A30" s="31" t="s">
        <v>405</v>
      </c>
    </row>
    <row r="31" customFormat="false" ht="15" hidden="false" customHeight="true" outlineLevel="0" collapsed="false">
      <c r="A31" s="31" t="s">
        <v>406</v>
      </c>
    </row>
    <row r="32" customFormat="false" ht="15" hidden="false" customHeight="true" outlineLevel="0" collapsed="false">
      <c r="A32" s="31" t="s">
        <v>407</v>
      </c>
    </row>
    <row r="33" customFormat="false" ht="15" hidden="false" customHeight="true" outlineLevel="0" collapsed="false">
      <c r="A33" s="31" t="s">
        <v>408</v>
      </c>
    </row>
    <row r="34" customFormat="false" ht="15" hidden="false" customHeight="true" outlineLevel="0" collapsed="false">
      <c r="A34" s="31"/>
    </row>
    <row r="35" customFormat="false" ht="15" hidden="false" customHeight="true" outlineLevel="0" collapsed="false">
      <c r="A35" s="31" t="s">
        <v>409</v>
      </c>
    </row>
    <row r="36" customFormat="false" ht="15" hidden="false" customHeight="true" outlineLevel="0" collapsed="false">
      <c r="A36" s="31" t="s">
        <v>410</v>
      </c>
    </row>
    <row r="37" customFormat="false" ht="15" hidden="false" customHeight="true" outlineLevel="0" collapsed="false">
      <c r="A37" s="31" t="s">
        <v>411</v>
      </c>
    </row>
    <row r="38" customFormat="false" ht="15" hidden="false" customHeight="true" outlineLevel="0" collapsed="false">
      <c r="A38" s="31" t="s">
        <v>412</v>
      </c>
    </row>
    <row r="39" customFormat="false" ht="15" hidden="false" customHeight="true" outlineLevel="0" collapsed="false">
      <c r="A39" s="31"/>
    </row>
    <row r="40" customFormat="false" ht="15" hidden="false" customHeight="true" outlineLevel="0" collapsed="false">
      <c r="A40" s="31" t="s">
        <v>413</v>
      </c>
    </row>
    <row r="41" customFormat="false" ht="15" hidden="false" customHeight="true" outlineLevel="0" collapsed="false">
      <c r="A41" s="31" t="s">
        <v>414</v>
      </c>
    </row>
    <row r="42" customFormat="false" ht="15" hidden="false" customHeight="true" outlineLevel="0" collapsed="false">
      <c r="A42" s="31" t="s">
        <v>415</v>
      </c>
    </row>
    <row r="43" customFormat="false" ht="15" hidden="false" customHeight="true" outlineLevel="0" collapsed="false">
      <c r="A43" s="31" t="s">
        <v>416</v>
      </c>
    </row>
    <row r="44" customFormat="false" ht="15" hidden="false" customHeight="true" outlineLevel="0" collapsed="false">
      <c r="A44" s="31"/>
    </row>
    <row r="45" customFormat="false" ht="15" hidden="false" customHeight="true" outlineLevel="0" collapsed="false">
      <c r="A45" s="45" t="s">
        <v>417</v>
      </c>
    </row>
    <row r="46" customFormat="false" ht="15" hidden="false" customHeight="true" outlineLevel="0" collapsed="false">
      <c r="A46" s="31" t="s">
        <v>418</v>
      </c>
    </row>
    <row r="47" customFormat="false" ht="15" hidden="false" customHeight="true" outlineLevel="0" collapsed="false">
      <c r="A47" s="31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2026-07-24T06:58:48Z</dcterms:created>
  <dc:creator>openpyxl</dc:creator>
  <dc:description/>
  <dc:language>en-US</dc:language>
  <cp:lastModifiedBy/>
  <dcterms:modified xsi:type="dcterms:W3CDTF">2026-08-11T00:10:02Z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