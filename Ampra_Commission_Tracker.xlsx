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<sst xmlns="http://schemas.openxmlformats.org/spreadsheetml/2006/main" count="1256" uniqueCount="476">
  <si>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</si>
  <si>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</si>
  <si>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</si>
  <si>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</si>
  <si>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</si>
  <si>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</si>
  <si>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</si>
  <si>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</si>
  <si>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</si>
  <si>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</si>
  <si>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</si>
  <si>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</si>
  <si>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</si>
  <si>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</si>
  <si>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</si>
  <si>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</si>
  <si>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</si>
  <si>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</si>
  <si>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</si>
  <si>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</si>
  <si>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</si>
  <si>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</si>
  <si>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</si>
  <si>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</si>
  <si>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</si>
  <si>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</si>
  <si>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</si>
  <si>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</si>
  <si>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</si>
  <si>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</si>
  <si>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</si>
  <si>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</si>
  <si>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</si>
  <si>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</si>
  <si>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</si>
  <si>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</si>
  <si>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Flat</t>
  </si>
  <si>
    <t xml:space="preserve">Denzel Winterbeard: $5,000.00</t>
  </si>
  <si>
    <t xml:space="preserve">SSA042</t>
  </si>
  <si>
    <t xml:space="preserve">Stephen Yu - 14 Carnarvon Street Broome WA 6725</t>
  </si>
  <si>
    <t xml:space="preserve">Holly; Joe</t>
  </si>
  <si>
    <t xml:space="preserve">Joe; Denzel Winterbeard</t>
  </si>
  <si>
    <t xml:space="preserve">Home</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</si>
  <si>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</si>
  <si>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</si>
  <si>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</si>
  <si>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</si>
  <si>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</si>
  <si>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</si>
  <si>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</si>
  <si>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</si>
  <si>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</si>
  <si>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</si>
  <si>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</si>
  <si>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</si>
  <si>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</si>
  <si>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</si>
  <si>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</si>
  <si>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</si>
  <si>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</si>
  <si>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</si>
  <si>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</si>
  <si>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</si>
  <si>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</si>
  <si>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</si>
  <si>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</si>
  <si>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</si>
  <si>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</si>
  <si>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</si>
  <si>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</si>
  <si>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</si>
  <si>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</si>
  <si>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</si>
  <si>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</si>
  <si>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</si>
  <si>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</si>
  <si>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</si>
  <si>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</si>
  <si>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</si>
  <si>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</si>
  <si>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</si>
  <si>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</si>
  <si>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</si>
  <si>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</si>
  <si>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</si>
  <si>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</si>
  <si>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</si>
  <si>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</si>
  <si>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</si>
  <si>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</si>
  <si>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</si>
  <si>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</si>
  <si>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</si>
  <si>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</si>
  <si>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</si>
  <si>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</si>
  <si>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</si>
  <si>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</si>
  <si>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</si>
  <si>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</si>
  <si>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</si>
  <si>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</si>
  <si>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</si>
  <si>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</si>
  <si>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</si>
  <si>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</si>
  <si>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</si>
  <si>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</si>
  <si>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</si>
  <si>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</si>
  <si>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</si>
  <si>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</si>
  <si>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</si>
  <si>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</si>
  <si>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</si>
  <si>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</si>
  <si>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</si>
  <si>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</si>
  <si>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</si>
  <si>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</si>
  <si>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</si>
  <si>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</si>
  <si>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</si>
  <si>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</si>
  <si>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</si>
  <si>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</si>
  <si>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</si>
  <si>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</si>
  <si>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</si>
  <si>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</si>
  <si>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</si>
  <si>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</si>
  <si>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</si>
  <si>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</si>
  <si>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</si>
  <si>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</si>
  <si>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</si>
  <si>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</si>
  <si>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</si>
  <si>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</si>
  <si>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</si>
  <si>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</si>
  <si>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</si>
  <si>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</si>
  <si>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</si>
  <si>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</si>
  <si>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</si>
  <si>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</si>
  <si>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</si>
  <si>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</si>
  <si>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</si>
  <si>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</si>
  <si>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</si>
  <si>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</si>
  <si>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</si>
  <si>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</si>
  <si>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</si>
  <si>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</si>
  <si>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</si>
  <si>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</si>
  <si>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</si>
  <si>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</si>
  <si>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</si>
  <si>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</si>
  <si>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</si>
  <si>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</si>
  <si>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</si>
  <si>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</si>
  <si>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</si>
  <si>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</si>
  <si>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</si>
  <si>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75 reconciled, 5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</si>
  <si>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</si>
  <si>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</si>
  <si>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</si>
  <si>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</si>
  <si>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</si>
  <si>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</si>
  <si>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</si>
  <si>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</si>
  <si>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</si>
  <si>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</si>
  <si>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</si>
  <si>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</si>
  <si>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</si>
  <si>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</si>
  <si>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</si>
  <si>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</si>
  <si>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</si>
  <si>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</si>
  <si>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</si>
  <si>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</si>
  <si>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</si>
  <si>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</si>
  <si>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</si>
  <si>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</si>
  <si>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</si>
  <si>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</si>
  <si>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</si>
  <si>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</si>
  <si>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</si>
  <si>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</si>
  <si>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</si>
  <si>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</si>
  <si>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</si>
  <si>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</si>
  <si>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</si>
  <si>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</si>
  <si>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</si>
  <si>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</si>
  <si>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</si>
  <si>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</si>
  <si>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</si>
  <si>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</si>
  <si>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</si>
  <si>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</si>
  <si>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</si>
  <si>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</si>
  <si>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</si>
  <si>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</si>
  <si>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</si>
  <si>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</si>
  <si>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</si>
  <si>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</si>
  <si>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</si>
  <si>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</si>
  <si>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</si>
  <si>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</si>
  <si>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</si>
  <si>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</si>
  <si>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</si>
  <si>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</si>
  <si>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</si>
  <si>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</si>
  <si>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</si>
  <si>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</si>
  <si>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</si>
  <si>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</si>
  <si>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</si>
  <si>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</si>
  <si>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</si>
  <si>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</si>
  <si>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</si>
  <si>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</si>
  <si>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</si>
  <si>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</si>
  <si>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</si>
  <si>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</si>
  <si>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</si>
  <si>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</si>
  <si>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</si>
  <si>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</si>
  <si>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</si>
  <si>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</si>
  <si>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</si>
  <si>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</si>
  <si>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</si>
  <si>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</si>
  <si>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</si>
  <si>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</si>
  <si>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</si>
  <si>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</si>
  <si>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</si>
  <si>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</si>
  <si>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</si>
  <si>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</si>
  <si>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</si>
  <si>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</si>
  <si>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</si>
  <si>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</si>
  <si>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</si>
  <si>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</si>
  <si>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</si>
  <si>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</si>
  <si>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</si>
  <si>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</si>
  <si>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</si>
  <si>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</si>
  <si>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</si>
  <si>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</si>
  <si>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</si>
  <si>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</si>
  <si>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</si>
  <si>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</si>
  <si>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</si>
  <si>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</si>
  <si>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</si>
  <si>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</si>
  <si>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</si>
  <si>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</si>
  <si>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</si>
  <si>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</si>
  <si>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</si>
  <si>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</si>
  <si>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</si>
  <si>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</si>
  <si>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</si>
  <si>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</si>
  <si>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</si>
  <si>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</si>
  <si>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</si>
  <si>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</si>
  <si>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</si>
  <si>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</si>
  <si>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</si>
  <si>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</si>
  <si>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</si>
  <si>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</si>
  <si>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</si>
  <si>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</si>
  <si>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</si>
  <si>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</si>
  <si>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</si>
  <si>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</si>
  <si>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</si>
  <si>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</si>
  <si>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</si>
  <si>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</si>
  <si>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</si>
  <si>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</si>
  <si>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</si>
  <si>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</si>
  <si>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</si>
  <si>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</si>
  <si>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</si>
  <si>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</si>
  <si>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</si>
  <si>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</si>
  <si>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</si>
  <si>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</si>
  <si>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</si>
  <si>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</si>
  <si>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</si>
  <si>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</si>
  <si>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</si>
  <si>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</si>
  <si>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</si>
  <si>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</si>
  <si>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</si>
  <si>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</si>
  <si>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</si>
  <si>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</si>
  <si>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</si>
  <si>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</si>
  <si>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</si>
  <si>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</si>
  <si>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</si>
  <si>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</si>
  <si>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</si>
  <si>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</si>
  <si>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</si>
  <si>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</si>
  <si>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</si>
  <si>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</si>
  <si>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</si>
  <si>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</si>
  <si>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</si>
  <si>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</si>
  <si>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</si>
  <si>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</si>
  <si>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</si>
  <si>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</si>
  <si>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</si>
  <si>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</si>
  <si>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</si>
  <si>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</si>
  <si>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</si>
  <si>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</si>
  <si>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</si>
  <si>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</si>
  <si>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</si>
  <si>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</si>
  <si>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</si>
  <si>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</si>
  <si>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</si>
  <si>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</si>
  <si>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</si>
  <si>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</si>
  <si>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</si>
  <si>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</si>
  <si>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</si>
  <si>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</si>
  <si>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</si>
  <si>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</si>
  <si>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</si>
  <si>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</si>
  <si>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</si>
  <si>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</si>
  <si>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</si>
  <si>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</si>
  <si>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</si>
  <si>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SSA036</t>
  </si>
  <si>
    <t xml:space="preserve">Scott Mooney - 17 Philip Street South Golden Beach NSW 2483</t>
  </si>
  <si>
    <t xml:space="preserve">Installed 2026-04-17 but never signed off by finance — before the baseline, so not in the log and not payable</t>
  </si>
  <si>
    <t xml:space="preserve">SSA020</t>
  </si>
  <si>
    <t xml:space="preserve">Tony Tedesco - 7 Wasley Road Wasleys SA 5400</t>
  </si>
  <si>
    <t xml:space="preserve">Installed 2026-02-02 but never signed off by finance — before the baseline, so not in the log and not payable</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</si>
  <si>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</si>
  <si>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</si>
  <si>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</si>
  <si>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</si>
  <si>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</si>
  <si>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</si>
  <si>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75 deals · reference only, not counted in current positions · pull 28/08/26</t>
  </si>
  <si>
    <t xml:space="preserve">Estimate up to 20/07/26. Figures before that date are reconstructed from HubSpot and contain known inconsistencies — 1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</si>
  <si>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</si>
  <si>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</si>
  <si>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</si>
  <si>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</si>
  <si>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</si>
  <si>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</si>
  <si>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</si>
  <si>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</si>
  <si>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</si>
  <si>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</si>
  <si>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</si>
  <si>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</si>
  <si>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</si>
  <si>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</si>
  <si>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</si>
  <si>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</si>
  <si>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</si>
  <si>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</si>
  <si>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</si>
  <si>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No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</si>
  <si>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</si>
  <si>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</si>
  <si>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</si>
  <si>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</si>
  <si>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</si>
  <si>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</si>
  <si>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</si>
  <si>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</si>
  <si>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Pricing error - $2,500.00 deducted from Denzel</t>
  </si>
  <si>
    <t xml:space="preserve">Beau Jolly</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</si>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</sst>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166B42"/>
      <name val="Arial"/>
      <family val="0"/>
      <charset val="1"/>
    </font>
    <font>
      <b val="true"/>
      <sz val="10"/>
      <color rgb="FF7A545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7"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7500</v>
      </c>
      <c r="E5" s="5" t="n">
        <v>3719.47</v>
      </c>
      <c r="F5" s="6" t="n">
        <f aca="false">C5+E5-D5</f>
        <v>-8569.59</v>
      </c>
      <c r="G5" s="4" t="str">
        <f aca="false">IF(F5&gt;=0,"AMPRA OWES","TO EARN BACK")</f>
        <v>TO EARN BACK</v>
      </c>
      <c r="H5" s="5" t="n">
        <v>20580.05</v>
      </c>
      <c r="I5" s="6" t="n">
        <f aca="false">C5+E5+H5-D5</f>
        <v>12010.46</v>
      </c>
      <c r="J5" s="4" t="str">
        <f aca="false">IF(I5&gt;=0,"AMPRA OWES","TO EARN BACK")</f>
        <v>AMPRA OWES</v>
      </c>
    </row>
    <row r="6" customFormat="false" ht="15" hidden="false" customHeight="false" outlineLevel="0" collapsed="false">
      <c r="A6" s="4" t="s">
        <v>14</v>
      </c>
      <c r="B6" s="4" t="s">
        <v>13</v>
      </c>
      <c r="C6" s="5" t="n">
        <v>-7730.41</v>
      </c>
      <c r="D6" s="5" t="n">
        <v>3250</v>
      </c>
      <c r="E6" s="5" t="n">
        <v>3715.38</v>
      </c>
      <c r="F6" s="6" t="n">
        <f aca="false">C6+E6-D6</f>
        <v>-7265.03</v>
      </c>
      <c r="G6" s="4" t="str">
        <f aca="false">IF(F6&gt;=0,"AMPRA OWES","TO EARN BACK")</f>
        <v>TO EARN BACK</v>
      </c>
      <c r="H6" s="5" t="n">
        <v>12606.87</v>
      </c>
      <c r="I6" s="6" t="n">
        <f aca="false">C6+E6+H6-D6</f>
        <v>5341.84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4659.64</v>
      </c>
      <c r="E8" s="5" t="n">
        <v>903.78</v>
      </c>
      <c r="F8" s="6" t="n">
        <f aca="false">C8+E8-D8</f>
        <v>-3755.86</v>
      </c>
      <c r="G8" s="4" t="str">
        <f aca="false">IF(F8&gt;=0,"AMPRA OWES","TO EARN BACK")</f>
        <v>TO EARN BACK</v>
      </c>
      <c r="H8" s="5" t="n">
        <v>2543.45</v>
      </c>
      <c r="I8" s="6" t="n">
        <f aca="false">C8+E8+H8-D8</f>
        <v>-1212.41</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15409.64</v>
      </c>
      <c r="E10" s="8" t="n">
        <f aca="false">SUM(E5:E9)</f>
        <v>9031.74</v>
      </c>
      <c r="F10" s="8" t="n">
        <f aca="false">C10+E10-D10</f>
        <v>-18897.37</v>
      </c>
      <c r="G10" s="7" t="str">
        <f aca="false">IF(F10&gt;=0,"AMPRA OWES","TO EARN BACK")</f>
        <v>TO EARN BACK</v>
      </c>
      <c r="H10" s="8" t="n">
        <f aca="false">SUM(H5:H9)</f>
        <v>52599.99</v>
      </c>
      <c r="I10" s="8" t="n">
        <f aca="false">C10+E10+H10-D10</f>
        <v>33702.62</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12" t="s">
        <v>34</v>
      </c>
      <c r="C5" s="12" t="s">
        <v>35</v>
      </c>
      <c r="D5" s="12" t="s">
        <v>20</v>
      </c>
      <c r="E5" s="12" t="s">
        <v>20</v>
      </c>
      <c r="F5" s="13" t="s">
        <v>36</v>
      </c>
      <c r="G5" s="13" t="n">
        <v>1</v>
      </c>
      <c r="H5" s="14" t="n">
        <v>224568</v>
      </c>
      <c r="I5" s="12" t="s">
        <v>37</v>
      </c>
    </row>
    <row r="6" customFormat="false" ht="15" hidden="false" customHeight="false" outlineLevel="0" collapsed="false">
      <c r="A6" s="15" t="s">
        <v>38</v>
      </c>
      <c r="B6" s="4" t="s">
        <v>39</v>
      </c>
      <c r="C6" s="4" t="s">
        <v>35</v>
      </c>
      <c r="D6" s="4" t="s">
        <v>40</v>
      </c>
      <c r="E6" s="4" t="s">
        <v>41</v>
      </c>
      <c r="F6" s="16" t="s">
        <v>42</v>
      </c>
      <c r="G6" s="16" t="n">
        <v>1</v>
      </c>
      <c r="H6" s="5" t="n">
        <v>70220</v>
      </c>
      <c r="I6" s="4" t="s">
        <v>43</v>
      </c>
    </row>
    <row r="7" customFormat="false" ht="15" hidden="false" customHeight="false" outlineLevel="0" collapsed="false">
      <c r="A7" s="15" t="s">
        <v>44</v>
      </c>
      <c r="B7" s="4" t="s">
        <v>45</v>
      </c>
      <c r="C7" s="4" t="s">
        <v>35</v>
      </c>
      <c r="D7" s="4" t="s">
        <v>46</v>
      </c>
      <c r="E7" s="4" t="s">
        <v>47</v>
      </c>
      <c r="F7" s="16" t="s">
        <v>48</v>
      </c>
      <c r="G7" s="16" t="n">
        <v>1</v>
      </c>
      <c r="H7" s="5" t="n">
        <v>64800</v>
      </c>
      <c r="I7" s="4" t="s">
        <v>49</v>
      </c>
    </row>
    <row r="8" customFormat="false" ht="15" hidden="false" customHeight="false" outlineLevel="0" collapsed="false">
      <c r="A8" s="15" t="s">
        <v>50</v>
      </c>
      <c r="B8" s="4" t="s">
        <v>51</v>
      </c>
      <c r="C8" s="4" t="s">
        <v>35</v>
      </c>
      <c r="D8" s="4" t="s">
        <v>20</v>
      </c>
      <c r="E8" s="4" t="s">
        <v>52</v>
      </c>
      <c r="F8" s="16" t="s">
        <v>42</v>
      </c>
      <c r="G8" s="16" t="n">
        <v>1</v>
      </c>
      <c r="H8" s="5" t="n">
        <v>57978</v>
      </c>
      <c r="I8" s="4" t="s">
        <v>53</v>
      </c>
    </row>
    <row r="9" customFormat="false" ht="15" hidden="false" customHeight="false" outlineLevel="0" collapsed="false">
      <c r="A9" s="15" t="s">
        <v>54</v>
      </c>
      <c r="B9" s="4" t="s">
        <v>55</v>
      </c>
      <c r="C9" s="4" t="s">
        <v>35</v>
      </c>
      <c r="D9" s="4" t="s">
        <v>20</v>
      </c>
      <c r="E9" s="4" t="s">
        <v>20</v>
      </c>
      <c r="F9" s="16" t="s">
        <v>42</v>
      </c>
      <c r="G9" s="16" t="n">
        <v>1</v>
      </c>
      <c r="H9" s="5" t="n">
        <v>40000</v>
      </c>
      <c r="I9" s="4" t="s">
        <v>20</v>
      </c>
    </row>
    <row r="10" customFormat="false" ht="15" hidden="false" customHeight="false" outlineLevel="0" collapsed="false">
      <c r="A10" s="15" t="s">
        <v>56</v>
      </c>
      <c r="B10" s="4" t="s">
        <v>57</v>
      </c>
      <c r="C10" s="4" t="s">
        <v>58</v>
      </c>
      <c r="D10" s="4" t="s">
        <v>12</v>
      </c>
      <c r="E10" s="4" t="s">
        <v>12</v>
      </c>
      <c r="F10" s="16" t="s">
        <v>42</v>
      </c>
      <c r="G10" s="16" t="n">
        <v>1</v>
      </c>
      <c r="H10" s="5" t="n">
        <v>37730</v>
      </c>
      <c r="I10" s="4" t="s">
        <v>59</v>
      </c>
    </row>
    <row r="11" customFormat="false" ht="15" hidden="false" customHeight="false" outlineLevel="0" collapsed="false">
      <c r="A11" s="15" t="s">
        <v>60</v>
      </c>
      <c r="B11" s="4" t="s">
        <v>61</v>
      </c>
      <c r="C11" s="4" t="s">
        <v>35</v>
      </c>
      <c r="D11" s="4" t="s">
        <v>14</v>
      </c>
      <c r="E11" s="4" t="s">
        <v>14</v>
      </c>
      <c r="F11" s="16" t="s">
        <v>42</v>
      </c>
      <c r="G11" s="16" t="n">
        <v>1</v>
      </c>
      <c r="H11" s="5" t="n">
        <v>36774</v>
      </c>
      <c r="I11" s="4" t="s">
        <v>62</v>
      </c>
    </row>
    <row r="12" customFormat="false" ht="15" hidden="false" customHeight="false" outlineLevel="0" collapsed="false">
      <c r="A12" s="15" t="s">
        <v>63</v>
      </c>
      <c r="B12" s="4" t="s">
        <v>64</v>
      </c>
      <c r="C12" s="4" t="s">
        <v>35</v>
      </c>
      <c r="D12" s="4" t="s">
        <v>65</v>
      </c>
      <c r="E12" s="4" t="s">
        <v>66</v>
      </c>
      <c r="F12" s="16" t="s">
        <v>48</v>
      </c>
      <c r="G12" s="16" t="n">
        <v>1</v>
      </c>
      <c r="H12" s="5" t="n">
        <v>35200</v>
      </c>
      <c r="I12" s="4" t="s">
        <v>67</v>
      </c>
    </row>
    <row r="13" customFormat="false" ht="15" hidden="false" customHeight="false" outlineLevel="0" collapsed="false">
      <c r="A13" s="15" t="s">
        <v>63</v>
      </c>
      <c r="B13" s="4" t="s">
        <v>68</v>
      </c>
      <c r="C13" s="4" t="s">
        <v>35</v>
      </c>
      <c r="D13" s="4" t="s">
        <v>20</v>
      </c>
      <c r="E13" s="4" t="s">
        <v>15</v>
      </c>
      <c r="F13" s="16" t="s">
        <v>42</v>
      </c>
      <c r="G13" s="16" t="n">
        <v>1</v>
      </c>
      <c r="H13" s="5" t="n">
        <v>33007</v>
      </c>
      <c r="I13" s="4" t="s">
        <v>69</v>
      </c>
    </row>
    <row r="14" customFormat="false" ht="15" hidden="false" customHeight="false" outlineLevel="0" collapsed="false">
      <c r="A14" s="15" t="s">
        <v>70</v>
      </c>
      <c r="B14" s="4" t="s">
        <v>71</v>
      </c>
      <c r="C14" s="4" t="s">
        <v>35</v>
      </c>
      <c r="D14" s="4" t="s">
        <v>15</v>
      </c>
      <c r="E14" s="4" t="s">
        <v>15</v>
      </c>
      <c r="F14" s="16" t="s">
        <v>42</v>
      </c>
      <c r="G14" s="16" t="n">
        <v>1</v>
      </c>
      <c r="H14" s="5" t="n">
        <v>26335</v>
      </c>
      <c r="I14" s="4" t="s">
        <v>72</v>
      </c>
    </row>
    <row r="15" customFormat="false" ht="15" hidden="false" customHeight="false" outlineLevel="0" collapsed="false">
      <c r="A15" s="15" t="s">
        <v>73</v>
      </c>
      <c r="B15" s="4" t="s">
        <v>74</v>
      </c>
      <c r="C15" s="4" t="s">
        <v>35</v>
      </c>
      <c r="D15" s="4" t="s">
        <v>75</v>
      </c>
      <c r="E15" s="4" t="s">
        <v>76</v>
      </c>
      <c r="F15" s="16" t="s">
        <v>48</v>
      </c>
      <c r="G15" s="16" t="n">
        <v>1</v>
      </c>
      <c r="H15" s="5" t="n">
        <v>25788</v>
      </c>
      <c r="I15" s="4" t="s">
        <v>77</v>
      </c>
    </row>
    <row r="16" customFormat="false" ht="15" hidden="false" customHeight="false" outlineLevel="0" collapsed="false">
      <c r="A16" s="15" t="s">
        <v>78</v>
      </c>
      <c r="B16" s="4" t="s">
        <v>79</v>
      </c>
      <c r="C16" s="4" t="s">
        <v>35</v>
      </c>
      <c r="D16" s="4" t="s">
        <v>66</v>
      </c>
      <c r="E16" s="4" t="s">
        <v>66</v>
      </c>
      <c r="F16" s="16" t="s">
        <v>48</v>
      </c>
      <c r="G16" s="16" t="n">
        <v>1</v>
      </c>
      <c r="H16" s="5" t="n">
        <v>25399</v>
      </c>
      <c r="I16" s="4" t="s">
        <v>80</v>
      </c>
    </row>
    <row r="17" customFormat="false" ht="15" hidden="false" customHeight="false" outlineLevel="0" collapsed="false">
      <c r="A17" s="15" t="s">
        <v>81</v>
      </c>
      <c r="B17" s="4" t="s">
        <v>82</v>
      </c>
      <c r="C17" s="4" t="s">
        <v>35</v>
      </c>
      <c r="D17" s="4" t="s">
        <v>20</v>
      </c>
      <c r="E17" s="4" t="s">
        <v>83</v>
      </c>
      <c r="F17" s="16" t="s">
        <v>48</v>
      </c>
      <c r="G17" s="16" t="n">
        <v>1</v>
      </c>
      <c r="H17" s="5" t="n">
        <v>24567</v>
      </c>
      <c r="I17" s="4" t="s">
        <v>84</v>
      </c>
    </row>
    <row r="18" customFormat="false" ht="15" hidden="false" customHeight="false" outlineLevel="0" collapsed="false">
      <c r="A18" s="15" t="s">
        <v>85</v>
      </c>
      <c r="B18" s="4" t="s">
        <v>86</v>
      </c>
      <c r="C18" s="4" t="s">
        <v>35</v>
      </c>
      <c r="D18" s="4" t="s">
        <v>65</v>
      </c>
      <c r="E18" s="4" t="s">
        <v>66</v>
      </c>
      <c r="F18" s="16" t="s">
        <v>48</v>
      </c>
      <c r="G18" s="16" t="n">
        <v>1</v>
      </c>
      <c r="H18" s="5" t="n">
        <v>22834</v>
      </c>
      <c r="I18" s="4" t="s">
        <v>87</v>
      </c>
    </row>
    <row r="19" customFormat="false" ht="15" hidden="false" customHeight="false" outlineLevel="0" collapsed="false">
      <c r="A19" s="15" t="s">
        <v>88</v>
      </c>
      <c r="B19" s="4" t="s">
        <v>89</v>
      </c>
      <c r="C19" s="4" t="s">
        <v>35</v>
      </c>
      <c r="D19" s="4" t="s">
        <v>16</v>
      </c>
      <c r="E19" s="4" t="s">
        <v>15</v>
      </c>
      <c r="F19" s="16" t="s">
        <v>42</v>
      </c>
      <c r="G19" s="16" t="n">
        <v>1</v>
      </c>
      <c r="H19" s="5" t="n">
        <v>20846</v>
      </c>
      <c r="I19" s="4" t="s">
        <v>90</v>
      </c>
    </row>
    <row r="20" customFormat="false" ht="15" hidden="false" customHeight="false" outlineLevel="0" collapsed="false">
      <c r="A20" s="15" t="s">
        <v>91</v>
      </c>
      <c r="B20" s="4" t="s">
        <v>92</v>
      </c>
      <c r="C20" s="4" t="s">
        <v>35</v>
      </c>
      <c r="D20" s="4" t="s">
        <v>83</v>
      </c>
      <c r="E20" s="4" t="s">
        <v>93</v>
      </c>
      <c r="F20" s="16" t="s">
        <v>48</v>
      </c>
      <c r="G20" s="16" t="n">
        <v>1</v>
      </c>
      <c r="H20" s="5" t="n">
        <v>20318</v>
      </c>
      <c r="I20" s="4" t="s">
        <v>94</v>
      </c>
    </row>
    <row r="21" customFormat="false" ht="15" hidden="false" customHeight="false" outlineLevel="0" collapsed="false">
      <c r="A21" s="15" t="s">
        <v>95</v>
      </c>
      <c r="B21" s="4" t="s">
        <v>96</v>
      </c>
      <c r="C21" s="4" t="s">
        <v>35</v>
      </c>
      <c r="D21" s="4" t="s">
        <v>20</v>
      </c>
      <c r="E21" s="4" t="s">
        <v>12</v>
      </c>
      <c r="F21" s="16" t="s">
        <v>42</v>
      </c>
      <c r="G21" s="16" t="n">
        <v>1</v>
      </c>
      <c r="H21" s="5" t="n">
        <v>20317</v>
      </c>
      <c r="I21" s="4" t="s">
        <v>97</v>
      </c>
    </row>
    <row r="22" customFormat="false" ht="15" hidden="false" customHeight="false" outlineLevel="0" collapsed="false">
      <c r="A22" s="15" t="s">
        <v>98</v>
      </c>
      <c r="B22" s="4" t="s">
        <v>99</v>
      </c>
      <c r="C22" s="4" t="s">
        <v>58</v>
      </c>
      <c r="D22" s="4" t="s">
        <v>100</v>
      </c>
      <c r="E22" s="4" t="s">
        <v>12</v>
      </c>
      <c r="F22" s="16" t="s">
        <v>48</v>
      </c>
      <c r="G22" s="16" t="n">
        <v>1</v>
      </c>
      <c r="H22" s="5" t="n">
        <v>19238</v>
      </c>
      <c r="I22" s="4" t="s">
        <v>101</v>
      </c>
    </row>
    <row r="23" customFormat="false" ht="15" hidden="false" customHeight="false" outlineLevel="0" collapsed="false">
      <c r="A23" s="15" t="s">
        <v>102</v>
      </c>
      <c r="B23" s="4" t="s">
        <v>103</v>
      </c>
      <c r="C23" s="4" t="s">
        <v>35</v>
      </c>
      <c r="D23" s="4" t="s">
        <v>20</v>
      </c>
      <c r="E23" s="4" t="s">
        <v>104</v>
      </c>
      <c r="F23" s="16" t="s">
        <v>48</v>
      </c>
      <c r="G23" s="16" t="n">
        <v>1</v>
      </c>
      <c r="H23" s="5" t="n">
        <v>19238</v>
      </c>
      <c r="I23" s="4" t="s">
        <v>105</v>
      </c>
    </row>
    <row r="24" customFormat="false" ht="15" hidden="false" customHeight="false" outlineLevel="0" collapsed="false">
      <c r="A24" s="15" t="s">
        <v>106</v>
      </c>
      <c r="B24" s="4" t="s">
        <v>107</v>
      </c>
      <c r="C24" s="4" t="s">
        <v>35</v>
      </c>
      <c r="D24" s="4" t="s">
        <v>20</v>
      </c>
      <c r="E24" s="4" t="s">
        <v>12</v>
      </c>
      <c r="F24" s="16" t="s">
        <v>42</v>
      </c>
      <c r="G24" s="16" t="n">
        <v>1</v>
      </c>
      <c r="H24" s="5" t="n">
        <v>17821</v>
      </c>
      <c r="I24" s="4" t="s">
        <v>108</v>
      </c>
    </row>
    <row r="25" customFormat="false" ht="15" hidden="false" customHeight="false" outlineLevel="0" collapsed="false">
      <c r="A25" s="15" t="s">
        <v>109</v>
      </c>
      <c r="B25" s="4" t="s">
        <v>110</v>
      </c>
      <c r="C25" s="4" t="s">
        <v>35</v>
      </c>
      <c r="D25" s="4" t="s">
        <v>111</v>
      </c>
      <c r="E25" s="4" t="s">
        <v>112</v>
      </c>
      <c r="F25" s="16" t="s">
        <v>48</v>
      </c>
      <c r="G25" s="16" t="n">
        <v>1</v>
      </c>
      <c r="H25" s="5" t="n">
        <v>13930</v>
      </c>
      <c r="I25" s="4" t="s">
        <v>113</v>
      </c>
    </row>
    <row r="26" customFormat="false" ht="15" hidden="false" customHeight="false" outlineLevel="0" collapsed="false">
      <c r="A26" s="15" t="s">
        <v>114</v>
      </c>
      <c r="B26" s="4" t="s">
        <v>115</v>
      </c>
      <c r="C26" s="4" t="s">
        <v>35</v>
      </c>
      <c r="D26" s="4" t="s">
        <v>15</v>
      </c>
      <c r="E26" s="4" t="s">
        <v>14</v>
      </c>
      <c r="F26" s="16" t="s">
        <v>42</v>
      </c>
      <c r="G26" s="16" t="n">
        <v>1</v>
      </c>
      <c r="H26" s="5" t="n">
        <v>9750</v>
      </c>
      <c r="I26" s="4" t="s">
        <v>116</v>
      </c>
    </row>
    <row r="27" customFormat="false" ht="15" hidden="false" customHeight="false" outlineLevel="0" collapsed="false">
      <c r="A27" s="15" t="s">
        <v>117</v>
      </c>
      <c r="B27" s="4" t="s">
        <v>118</v>
      </c>
      <c r="C27" s="4" t="s">
        <v>35</v>
      </c>
      <c r="D27" s="4" t="s">
        <v>75</v>
      </c>
      <c r="E27" s="4" t="s">
        <v>52</v>
      </c>
      <c r="F27" s="16" t="s">
        <v>48</v>
      </c>
      <c r="G27" s="16" t="n">
        <v>1</v>
      </c>
      <c r="H27" s="5" t="n">
        <v>6000</v>
      </c>
      <c r="I27" s="4" t="s">
        <v>119</v>
      </c>
    </row>
    <row r="28" customFormat="false" ht="15" hidden="false" customHeight="false" outlineLevel="0" collapsed="false">
      <c r="A28" s="7" t="s">
        <v>120</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121</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122</v>
      </c>
      <c r="B1" s="1"/>
      <c r="C1" s="1"/>
      <c r="D1" s="1"/>
      <c r="E1" s="1"/>
      <c r="F1" s="1"/>
    </row>
    <row r="2" customFormat="false" ht="15" hidden="false" customHeight="false" outlineLevel="0" collapsed="false">
      <c r="A2" s="2" t="s">
        <v>123</v>
      </c>
      <c r="B2" s="2"/>
      <c r="C2" s="2"/>
      <c r="D2" s="2"/>
      <c r="E2" s="2"/>
      <c r="F2" s="2"/>
    </row>
    <row r="4" customFormat="false" ht="15" hidden="false" customHeight="false" outlineLevel="0" collapsed="false">
      <c r="A4" s="17" t="s">
        <v>124</v>
      </c>
    </row>
    <row r="5" customFormat="false" ht="15" hidden="false" customHeight="false" outlineLevel="0" collapsed="false">
      <c r="A5" s="18" t="s">
        <v>125</v>
      </c>
      <c r="B5" s="19" t="n">
        <v>2500</v>
      </c>
      <c r="C5" s="20" t="s">
        <v>126</v>
      </c>
    </row>
    <row r="6" customFormat="false" ht="15" hidden="false" customHeight="false" outlineLevel="0" collapsed="false">
      <c r="A6" s="18" t="s">
        <v>127</v>
      </c>
      <c r="B6" s="19" t="n">
        <v>500</v>
      </c>
      <c r="C6" s="20" t="s">
        <v>126</v>
      </c>
    </row>
    <row r="7" customFormat="false" ht="15" hidden="false" customHeight="false" outlineLevel="0" collapsed="false">
      <c r="A7" s="18" t="s">
        <v>128</v>
      </c>
      <c r="B7" s="19" t="n">
        <v>0</v>
      </c>
      <c r="C7" s="20" t="s">
        <v>129</v>
      </c>
    </row>
    <row r="8" customFormat="false" ht="15" hidden="false" customHeight="false" outlineLevel="0" collapsed="false">
      <c r="A8" s="18" t="s">
        <v>130</v>
      </c>
      <c r="B8" s="19" t="n">
        <v>0</v>
      </c>
      <c r="C8" s="20" t="s">
        <v>131</v>
      </c>
    </row>
    <row r="9" customFormat="false" ht="15" hidden="false" customHeight="false" outlineLevel="0" collapsed="false">
      <c r="A9" s="18" t="s">
        <v>132</v>
      </c>
      <c r="B9" s="19" t="n">
        <v>0</v>
      </c>
      <c r="C9" s="20" t="s">
        <v>133</v>
      </c>
    </row>
    <row r="10" customFormat="false" ht="15" hidden="false" customHeight="false" outlineLevel="0" collapsed="false">
      <c r="A10" s="18" t="s">
        <v>134</v>
      </c>
      <c r="B10" s="21" t="n">
        <v>0.833</v>
      </c>
      <c r="C10" s="20" t="s">
        <v>135</v>
      </c>
    </row>
    <row r="12" customFormat="false" ht="30" hidden="false" customHeight="true" outlineLevel="0" collapsed="false">
      <c r="A12" s="3" t="s">
        <v>136</v>
      </c>
      <c r="B12" s="3" t="s">
        <v>137</v>
      </c>
      <c r="C12" s="3" t="s">
        <v>3</v>
      </c>
      <c r="D12" s="3" t="s">
        <v>138</v>
      </c>
      <c r="E12" s="3" t="s">
        <v>139</v>
      </c>
      <c r="F12" s="3" t="s">
        <v>140</v>
      </c>
    </row>
    <row r="13" customFormat="false" ht="15" hidden="false" customHeight="false" outlineLevel="0" collapsed="false">
      <c r="A13" s="4" t="s">
        <v>141</v>
      </c>
      <c r="B13" s="4" t="s">
        <v>16</v>
      </c>
      <c r="C13" s="4" t="s">
        <v>142</v>
      </c>
      <c r="D13" s="5" t="n">
        <v>41.58</v>
      </c>
      <c r="E13" s="4" t="s">
        <v>20</v>
      </c>
      <c r="F13" s="4" t="s">
        <v>143</v>
      </c>
    </row>
    <row r="14" customFormat="false" ht="15" hidden="false" customHeight="false" outlineLevel="0" collapsed="false">
      <c r="A14" s="4" t="s">
        <v>144</v>
      </c>
      <c r="B14" s="4" t="s">
        <v>16</v>
      </c>
      <c r="C14" s="4" t="s">
        <v>142</v>
      </c>
      <c r="D14" s="5" t="n">
        <v>129.64</v>
      </c>
      <c r="E14" s="4" t="s">
        <v>20</v>
      </c>
      <c r="F14" s="4" t="s">
        <v>143</v>
      </c>
    </row>
    <row r="15" customFormat="false" ht="15" hidden="false" customHeight="false" outlineLevel="0" collapsed="false">
      <c r="A15" s="4" t="s">
        <v>145</v>
      </c>
      <c r="B15" s="4" t="s">
        <v>16</v>
      </c>
      <c r="C15" s="4" t="s">
        <v>142</v>
      </c>
      <c r="D15" s="5" t="n">
        <v>149</v>
      </c>
      <c r="E15" s="4" t="s">
        <v>20</v>
      </c>
      <c r="F15" s="4" t="s">
        <v>143</v>
      </c>
    </row>
    <row r="16" customFormat="false" ht="15" hidden="false" customHeight="false" outlineLevel="0" collapsed="false">
      <c r="A16" s="4" t="s">
        <v>146</v>
      </c>
      <c r="B16" s="4" t="s">
        <v>12</v>
      </c>
      <c r="C16" s="4" t="s">
        <v>147</v>
      </c>
      <c r="D16" s="5" t="n">
        <v>2500</v>
      </c>
      <c r="E16" s="4" t="s">
        <v>20</v>
      </c>
      <c r="F16" s="4" t="s">
        <v>148</v>
      </c>
    </row>
    <row r="17" customFormat="false" ht="15" hidden="false" customHeight="false" outlineLevel="0" collapsed="false">
      <c r="A17" s="4" t="s">
        <v>146</v>
      </c>
      <c r="B17" s="4" t="s">
        <v>16</v>
      </c>
      <c r="C17" s="4" t="s">
        <v>147</v>
      </c>
      <c r="D17" s="5" t="n">
        <v>500</v>
      </c>
      <c r="E17" s="4" t="s">
        <v>20</v>
      </c>
      <c r="F17" s="4" t="s">
        <v>148</v>
      </c>
    </row>
    <row r="18" customFormat="false" ht="15" hidden="false" customHeight="false" outlineLevel="0" collapsed="false">
      <c r="A18" s="4" t="s">
        <v>149</v>
      </c>
      <c r="B18" s="4" t="s">
        <v>16</v>
      </c>
      <c r="C18" s="4" t="s">
        <v>142</v>
      </c>
      <c r="D18" s="5" t="n">
        <v>149</v>
      </c>
      <c r="E18" s="4" t="s">
        <v>20</v>
      </c>
      <c r="F18" s="4" t="s">
        <v>143</v>
      </c>
    </row>
    <row r="19" customFormat="false" ht="15" hidden="false" customHeight="false" outlineLevel="0" collapsed="false">
      <c r="A19" s="4" t="s">
        <v>149</v>
      </c>
      <c r="B19" s="4" t="s">
        <v>16</v>
      </c>
      <c r="C19" s="4" t="s">
        <v>142</v>
      </c>
      <c r="D19" s="5" t="n">
        <v>252.03</v>
      </c>
      <c r="E19" s="4" t="s">
        <v>150</v>
      </c>
      <c r="F19" s="4" t="s">
        <v>151</v>
      </c>
    </row>
    <row r="20" customFormat="false" ht="15" hidden="false" customHeight="false" outlineLevel="0" collapsed="false">
      <c r="A20" s="4" t="s">
        <v>152</v>
      </c>
      <c r="B20" s="4" t="s">
        <v>16</v>
      </c>
      <c r="C20" s="4" t="s">
        <v>142</v>
      </c>
      <c r="D20" s="5" t="n">
        <v>149</v>
      </c>
      <c r="E20" s="4" t="s">
        <v>20</v>
      </c>
      <c r="F20" s="4" t="s">
        <v>143</v>
      </c>
    </row>
    <row r="21" customFormat="false" ht="15" hidden="false" customHeight="false" outlineLevel="0" collapsed="false">
      <c r="A21" s="4" t="s">
        <v>153</v>
      </c>
      <c r="B21" s="4" t="s">
        <v>16</v>
      </c>
      <c r="C21" s="4" t="s">
        <v>142</v>
      </c>
      <c r="D21" s="5" t="n">
        <v>149</v>
      </c>
      <c r="E21" s="4" t="s">
        <v>20</v>
      </c>
      <c r="F21" s="4" t="s">
        <v>143</v>
      </c>
    </row>
    <row r="22" customFormat="false" ht="15" hidden="false" customHeight="false" outlineLevel="0" collapsed="false">
      <c r="A22" s="4" t="s">
        <v>154</v>
      </c>
      <c r="B22" s="4" t="s">
        <v>16</v>
      </c>
      <c r="C22" s="4" t="s">
        <v>142</v>
      </c>
      <c r="D22" s="5" t="n">
        <v>149</v>
      </c>
      <c r="E22" s="4" t="s">
        <v>20</v>
      </c>
      <c r="F22" s="4" t="s">
        <v>143</v>
      </c>
    </row>
    <row r="23" customFormat="false" ht="15" hidden="false" customHeight="false" outlineLevel="0" collapsed="false">
      <c r="A23" s="4" t="s">
        <v>155</v>
      </c>
      <c r="B23" s="4" t="s">
        <v>16</v>
      </c>
      <c r="C23" s="4" t="s">
        <v>142</v>
      </c>
      <c r="D23" s="5" t="n">
        <v>149</v>
      </c>
      <c r="E23" s="4" t="s">
        <v>20</v>
      </c>
      <c r="F23" s="4" t="s">
        <v>143</v>
      </c>
    </row>
    <row r="24" customFormat="false" ht="15" hidden="false" customHeight="false" outlineLevel="0" collapsed="false">
      <c r="A24" s="4" t="s">
        <v>156</v>
      </c>
      <c r="B24" s="4" t="s">
        <v>16</v>
      </c>
      <c r="C24" s="4" t="s">
        <v>142</v>
      </c>
      <c r="D24" s="5" t="n">
        <v>149</v>
      </c>
      <c r="E24" s="4" t="s">
        <v>20</v>
      </c>
      <c r="F24" s="4" t="s">
        <v>143</v>
      </c>
    </row>
    <row r="25" customFormat="false" ht="15" hidden="false" customHeight="false" outlineLevel="0" collapsed="false">
      <c r="A25" s="4" t="s">
        <v>157</v>
      </c>
      <c r="B25" s="4" t="s">
        <v>16</v>
      </c>
      <c r="C25" s="4" t="s">
        <v>142</v>
      </c>
      <c r="D25" s="5" t="n">
        <v>149</v>
      </c>
      <c r="E25" s="4" t="s">
        <v>20</v>
      </c>
      <c r="F25" s="4" t="s">
        <v>143</v>
      </c>
    </row>
    <row r="26" customFormat="false" ht="15" hidden="false" customHeight="false" outlineLevel="0" collapsed="false">
      <c r="A26" s="4" t="s">
        <v>158</v>
      </c>
      <c r="B26" s="4" t="s">
        <v>12</v>
      </c>
      <c r="C26" s="4" t="s">
        <v>147</v>
      </c>
      <c r="D26" s="5" t="n">
        <v>2500</v>
      </c>
      <c r="E26" s="4" t="s">
        <v>20</v>
      </c>
      <c r="F26" s="4" t="s">
        <v>148</v>
      </c>
    </row>
    <row r="27" customFormat="false" ht="15" hidden="false" customHeight="false" outlineLevel="0" collapsed="false">
      <c r="A27" s="4" t="s">
        <v>158</v>
      </c>
      <c r="B27" s="4" t="s">
        <v>16</v>
      </c>
      <c r="C27" s="4" t="s">
        <v>147</v>
      </c>
      <c r="D27" s="5" t="n">
        <v>500</v>
      </c>
      <c r="E27" s="4" t="s">
        <v>20</v>
      </c>
      <c r="F27" s="4" t="s">
        <v>148</v>
      </c>
    </row>
    <row r="28" customFormat="false" ht="15" hidden="false" customHeight="false" outlineLevel="0" collapsed="false">
      <c r="A28" s="4" t="s">
        <v>158</v>
      </c>
      <c r="B28" s="4" t="s">
        <v>16</v>
      </c>
      <c r="C28" s="4" t="s">
        <v>142</v>
      </c>
      <c r="D28" s="5" t="n">
        <v>149</v>
      </c>
      <c r="E28" s="4" t="s">
        <v>20</v>
      </c>
      <c r="F28" s="4" t="s">
        <v>143</v>
      </c>
    </row>
    <row r="29" customFormat="false" ht="15" hidden="false" customHeight="false" outlineLevel="0" collapsed="false">
      <c r="A29" s="4" t="s">
        <v>159</v>
      </c>
      <c r="B29" s="4" t="s">
        <v>16</v>
      </c>
      <c r="C29" s="4" t="s">
        <v>142</v>
      </c>
      <c r="D29" s="5" t="n">
        <v>149</v>
      </c>
      <c r="E29" s="4" t="s">
        <v>20</v>
      </c>
      <c r="F29" s="4" t="s">
        <v>143</v>
      </c>
    </row>
    <row r="30" customFormat="false" ht="15" hidden="false" customHeight="false" outlineLevel="0" collapsed="false">
      <c r="A30" s="4" t="s">
        <v>160</v>
      </c>
      <c r="B30" s="4" t="s">
        <v>16</v>
      </c>
      <c r="C30" s="4" t="s">
        <v>142</v>
      </c>
      <c r="D30" s="5" t="n">
        <v>149</v>
      </c>
      <c r="E30" s="4" t="s">
        <v>20</v>
      </c>
      <c r="F30" s="4" t="s">
        <v>143</v>
      </c>
    </row>
    <row r="31" customFormat="false" ht="15" hidden="false" customHeight="false" outlineLevel="0" collapsed="false">
      <c r="A31" s="4" t="s">
        <v>161</v>
      </c>
      <c r="B31" s="4" t="s">
        <v>16</v>
      </c>
      <c r="C31" s="4" t="s">
        <v>142</v>
      </c>
      <c r="D31" s="5" t="n">
        <v>149</v>
      </c>
      <c r="E31" s="4" t="s">
        <v>20</v>
      </c>
      <c r="F31" s="4" t="s">
        <v>143</v>
      </c>
    </row>
    <row r="32" customFormat="false" ht="15" hidden="false" customHeight="false" outlineLevel="0" collapsed="false">
      <c r="A32" s="4" t="s">
        <v>162</v>
      </c>
      <c r="B32" s="4" t="s">
        <v>16</v>
      </c>
      <c r="C32" s="4" t="s">
        <v>142</v>
      </c>
      <c r="D32" s="5" t="n">
        <v>149</v>
      </c>
      <c r="E32" s="4" t="s">
        <v>20</v>
      </c>
      <c r="F32" s="4" t="s">
        <v>143</v>
      </c>
    </row>
    <row r="33" customFormat="false" ht="15" hidden="false" customHeight="false" outlineLevel="0" collapsed="false">
      <c r="A33" s="4" t="s">
        <v>163</v>
      </c>
      <c r="B33" s="4" t="s">
        <v>16</v>
      </c>
      <c r="C33" s="4" t="s">
        <v>142</v>
      </c>
      <c r="D33" s="5" t="n">
        <v>149</v>
      </c>
      <c r="E33" s="4" t="s">
        <v>20</v>
      </c>
      <c r="F33" s="4" t="s">
        <v>143</v>
      </c>
    </row>
    <row r="34" customFormat="false" ht="15" hidden="false" customHeight="false" outlineLevel="0" collapsed="false">
      <c r="A34" s="4" t="s">
        <v>164</v>
      </c>
      <c r="B34" s="4" t="s">
        <v>16</v>
      </c>
      <c r="C34" s="4" t="s">
        <v>142</v>
      </c>
      <c r="D34" s="5" t="n">
        <v>149</v>
      </c>
      <c r="E34" s="4" t="s">
        <v>20</v>
      </c>
      <c r="F34" s="4" t="s">
        <v>143</v>
      </c>
    </row>
    <row r="35" customFormat="false" ht="15" hidden="false" customHeight="false" outlineLevel="0" collapsed="false">
      <c r="A35" s="4" t="s">
        <v>165</v>
      </c>
      <c r="B35" s="4" t="s">
        <v>16</v>
      </c>
      <c r="C35" s="4" t="s">
        <v>142</v>
      </c>
      <c r="D35" s="5" t="n">
        <v>149</v>
      </c>
      <c r="E35" s="4" t="s">
        <v>20</v>
      </c>
      <c r="F35" s="4" t="s">
        <v>166</v>
      </c>
    </row>
    <row r="36" customFormat="false" ht="15" hidden="false" customHeight="false" outlineLevel="0" collapsed="false">
      <c r="A36" s="7" t="s">
        <v>167</v>
      </c>
      <c r="B36" s="7"/>
      <c r="C36" s="7"/>
      <c r="D36" s="8" t="n">
        <f aca="false">SUM(D13:D35)</f>
        <v>8807.25</v>
      </c>
      <c r="E36" s="7"/>
      <c r="F36" s="7"/>
    </row>
    <row r="37" customFormat="false" ht="15" hidden="false" customHeight="false" outlineLevel="0" collapsed="false">
      <c r="A37" s="22"/>
      <c r="B37" s="22" t="s">
        <v>168</v>
      </c>
      <c r="C37" s="22"/>
      <c r="D37" s="23" t="n">
        <f aca="false">SUMIF(B13:B35,"Denzel Winterbeard",D13:D35)</f>
        <v>5000</v>
      </c>
      <c r="E37" s="22"/>
      <c r="F37" s="22"/>
    </row>
    <row r="38" customFormat="false" ht="15" hidden="false" customHeight="false" outlineLevel="0" collapsed="false">
      <c r="A38" s="22"/>
      <c r="B38" s="22" t="s">
        <v>169</v>
      </c>
      <c r="C38" s="22"/>
      <c r="D38" s="23" t="n">
        <f aca="false">SUMIF(B13:B36,"Holly",D13:D36)</f>
        <v>3807.25</v>
      </c>
      <c r="E38" s="22"/>
      <c r="F38" s="22"/>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170</v>
      </c>
      <c r="B1" s="1"/>
      <c r="C1" s="1"/>
      <c r="D1" s="1"/>
      <c r="E1" s="1"/>
      <c r="F1" s="1"/>
      <c r="G1" s="1"/>
      <c r="H1" s="1"/>
      <c r="I1" s="1"/>
      <c r="J1" s="1"/>
      <c r="K1" s="1"/>
      <c r="L1" s="1"/>
    </row>
    <row r="2" customFormat="false" ht="15" hidden="false" customHeight="false" outlineLevel="0" collapsed="false">
      <c r="A2" s="2" t="s">
        <v>171</v>
      </c>
      <c r="B2" s="2"/>
      <c r="C2" s="2"/>
      <c r="D2" s="2"/>
      <c r="E2" s="2"/>
      <c r="F2" s="2"/>
      <c r="G2" s="2"/>
      <c r="H2" s="2"/>
      <c r="I2" s="2"/>
      <c r="J2" s="2"/>
      <c r="K2" s="2"/>
      <c r="L2" s="2"/>
    </row>
    <row r="3" customFormat="false" ht="15" hidden="false" customHeight="false" outlineLevel="0" collapsed="false">
      <c r="A3" s="24" t="s">
        <v>172</v>
      </c>
      <c r="B3" s="24"/>
      <c r="C3" s="24"/>
      <c r="D3" s="24"/>
      <c r="E3" s="24"/>
      <c r="F3" s="24"/>
      <c r="G3" s="24"/>
      <c r="H3" s="24"/>
      <c r="I3" s="24"/>
      <c r="J3" s="24"/>
      <c r="K3" s="24"/>
    </row>
    <row r="4" customFormat="false" ht="15" hidden="false" customHeight="false" outlineLevel="0" collapsed="false">
      <c r="A4" s="2" t="s">
        <v>173</v>
      </c>
      <c r="B4" s="2"/>
      <c r="C4" s="2"/>
      <c r="D4" s="2"/>
      <c r="E4" s="2"/>
      <c r="F4" s="2"/>
      <c r="G4" s="2"/>
      <c r="H4" s="2"/>
      <c r="I4" s="2"/>
      <c r="J4" s="2"/>
      <c r="K4" s="2"/>
      <c r="L4" s="2"/>
    </row>
    <row r="6" customFormat="false" ht="30" hidden="false" customHeight="true" outlineLevel="0" collapsed="false">
      <c r="A6" s="3" t="s">
        <v>174</v>
      </c>
      <c r="B6" s="3" t="s">
        <v>25</v>
      </c>
      <c r="C6" s="3" t="s">
        <v>26</v>
      </c>
      <c r="D6" s="3" t="s">
        <v>175</v>
      </c>
      <c r="E6" s="3" t="s">
        <v>176</v>
      </c>
      <c r="F6" s="3" t="s">
        <v>177</v>
      </c>
      <c r="G6" s="3" t="s">
        <v>178</v>
      </c>
      <c r="H6" s="3" t="s">
        <v>179</v>
      </c>
      <c r="I6" s="3" t="s">
        <v>180</v>
      </c>
      <c r="J6" s="3" t="s">
        <v>181</v>
      </c>
      <c r="K6" s="3" t="s">
        <v>182</v>
      </c>
      <c r="L6" s="3" t="s">
        <v>183</v>
      </c>
    </row>
    <row r="7" customFormat="false" ht="15" hidden="false" customHeight="false" outlineLevel="0" collapsed="false">
      <c r="A7" s="4" t="s">
        <v>7</v>
      </c>
      <c r="B7" s="15" t="s">
        <v>184</v>
      </c>
      <c r="C7" s="4" t="s">
        <v>185</v>
      </c>
      <c r="D7" s="4" t="s">
        <v>165</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5" t="s">
        <v>186</v>
      </c>
      <c r="C8" s="4" t="s">
        <v>187</v>
      </c>
      <c r="D8" s="4" t="s">
        <v>165</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5" t="s">
        <v>188</v>
      </c>
      <c r="C9" s="4" t="s">
        <v>189</v>
      </c>
      <c r="D9" s="4" t="s">
        <v>164</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5" t="s">
        <v>190</v>
      </c>
      <c r="C10" s="4" t="s">
        <v>191</v>
      </c>
      <c r="D10" s="4" t="s">
        <v>164</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5" t="s">
        <v>192</v>
      </c>
      <c r="C11" s="4" t="s">
        <v>193</v>
      </c>
      <c r="D11" s="4" t="s">
        <v>194</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5" t="s">
        <v>195</v>
      </c>
      <c r="C12" s="4" t="s">
        <v>196</v>
      </c>
      <c r="D12" s="4" t="s">
        <v>194</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5" t="s">
        <v>197</v>
      </c>
      <c r="C13" s="4" t="s">
        <v>198</v>
      </c>
      <c r="D13" s="4" t="s">
        <v>199</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5" t="s">
        <v>200</v>
      </c>
      <c r="C14" s="4" t="s">
        <v>201</v>
      </c>
      <c r="D14" s="4" t="s">
        <v>158</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5" t="s">
        <v>202</v>
      </c>
      <c r="C15" s="4" t="s">
        <v>203</v>
      </c>
      <c r="D15" s="4" t="s">
        <v>204</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5" t="s">
        <v>205</v>
      </c>
      <c r="B16" s="26" t="s">
        <v>206</v>
      </c>
      <c r="C16" s="25" t="s">
        <v>207</v>
      </c>
      <c r="D16" s="25" t="s">
        <v>208</v>
      </c>
      <c r="E16" s="27" t="n">
        <v>4086.36</v>
      </c>
      <c r="F16" s="27" t="n">
        <v>0</v>
      </c>
      <c r="G16" s="27" t="n">
        <v>0</v>
      </c>
      <c r="H16" s="27" t="n">
        <v>4086.36</v>
      </c>
      <c r="I16" s="27" t="n">
        <v>408.64</v>
      </c>
      <c r="J16" s="27" t="n">
        <v>408.64</v>
      </c>
      <c r="K16" s="27" t="n">
        <v>408.64</v>
      </c>
      <c r="L16" s="27" t="n">
        <v>0</v>
      </c>
    </row>
    <row r="17" customFormat="false" ht="15" hidden="false" customHeight="false" outlineLevel="0" collapsed="false">
      <c r="A17" s="25" t="s">
        <v>205</v>
      </c>
      <c r="B17" s="26" t="s">
        <v>209</v>
      </c>
      <c r="C17" s="25" t="s">
        <v>210</v>
      </c>
      <c r="D17" s="25" t="s">
        <v>211</v>
      </c>
      <c r="E17" s="27" t="n">
        <v>2722.73</v>
      </c>
      <c r="F17" s="27" t="n">
        <v>0</v>
      </c>
      <c r="G17" s="27" t="n">
        <v>0</v>
      </c>
      <c r="H17" s="27" t="n">
        <v>2722.73</v>
      </c>
      <c r="I17" s="27" t="n">
        <v>272.27</v>
      </c>
      <c r="J17" s="27" t="n">
        <v>272.27</v>
      </c>
      <c r="K17" s="27" t="n">
        <v>272.27</v>
      </c>
      <c r="L17" s="27" t="n">
        <v>0</v>
      </c>
    </row>
    <row r="18" customFormat="false" ht="15" hidden="false" customHeight="false" outlineLevel="0" collapsed="false">
      <c r="A18" s="25" t="s">
        <v>205</v>
      </c>
      <c r="B18" s="26" t="s">
        <v>212</v>
      </c>
      <c r="C18" s="25" t="s">
        <v>213</v>
      </c>
      <c r="D18" s="25" t="s">
        <v>214</v>
      </c>
      <c r="E18" s="27" t="n">
        <v>17727.27</v>
      </c>
      <c r="F18" s="27" t="n">
        <v>0</v>
      </c>
      <c r="G18" s="27" t="n">
        <v>0</v>
      </c>
      <c r="H18" s="27" t="n">
        <v>17727.27</v>
      </c>
      <c r="I18" s="27" t="n">
        <v>1772.73</v>
      </c>
      <c r="J18" s="27" t="n">
        <v>1772.73</v>
      </c>
      <c r="K18" s="27" t="n">
        <v>1772.73</v>
      </c>
      <c r="L18" s="27" t="n">
        <v>0</v>
      </c>
    </row>
    <row r="19" customFormat="false" ht="15" hidden="false" customHeight="false" outlineLevel="0" collapsed="false">
      <c r="A19" s="25" t="s">
        <v>205</v>
      </c>
      <c r="B19" s="26" t="s">
        <v>215</v>
      </c>
      <c r="C19" s="25" t="s">
        <v>216</v>
      </c>
      <c r="D19" s="25" t="s">
        <v>217</v>
      </c>
      <c r="E19" s="27" t="n">
        <v>136.36</v>
      </c>
      <c r="F19" s="27" t="n">
        <v>0</v>
      </c>
      <c r="G19" s="27" t="n">
        <v>0</v>
      </c>
      <c r="H19" s="27" t="n">
        <v>136.36</v>
      </c>
      <c r="I19" s="27" t="n">
        <v>13.64</v>
      </c>
      <c r="J19" s="27" t="n">
        <v>13.64</v>
      </c>
      <c r="K19" s="27" t="n">
        <v>13.64</v>
      </c>
      <c r="L19" s="27" t="n">
        <v>0</v>
      </c>
    </row>
    <row r="20" customFormat="false" ht="15" hidden="false" customHeight="false" outlineLevel="0" collapsed="false">
      <c r="A20" s="25" t="s">
        <v>205</v>
      </c>
      <c r="B20" s="26" t="s">
        <v>218</v>
      </c>
      <c r="C20" s="25" t="s">
        <v>219</v>
      </c>
      <c r="D20" s="25" t="s">
        <v>220</v>
      </c>
      <c r="E20" s="27" t="n">
        <v>9995</v>
      </c>
      <c r="F20" s="27" t="n">
        <v>0</v>
      </c>
      <c r="G20" s="27" t="n">
        <v>0</v>
      </c>
      <c r="H20" s="27" t="n">
        <v>9995</v>
      </c>
      <c r="I20" s="27" t="n">
        <v>999.5</v>
      </c>
      <c r="J20" s="27" t="n">
        <v>999.5</v>
      </c>
      <c r="K20" s="27" t="n">
        <v>999.5</v>
      </c>
      <c r="L20" s="27" t="n">
        <v>0</v>
      </c>
    </row>
    <row r="21" customFormat="false" ht="15" hidden="false" customHeight="false" outlineLevel="0" collapsed="false">
      <c r="A21" s="25" t="s">
        <v>205</v>
      </c>
      <c r="B21" s="26" t="s">
        <v>221</v>
      </c>
      <c r="C21" s="25" t="s">
        <v>222</v>
      </c>
      <c r="D21" s="25" t="s">
        <v>223</v>
      </c>
      <c r="E21" s="27" t="n">
        <v>4699</v>
      </c>
      <c r="F21" s="27" t="n">
        <v>0</v>
      </c>
      <c r="G21" s="27" t="n">
        <v>0</v>
      </c>
      <c r="H21" s="27" t="n">
        <v>4699</v>
      </c>
      <c r="I21" s="27" t="n">
        <v>469.9</v>
      </c>
      <c r="J21" s="27" t="n">
        <v>469.9</v>
      </c>
      <c r="K21" s="27" t="n">
        <v>469.9</v>
      </c>
      <c r="L21" s="27" t="n">
        <v>0</v>
      </c>
    </row>
    <row r="22" customFormat="false" ht="15" hidden="false" customHeight="false" outlineLevel="0" collapsed="false">
      <c r="A22" s="25" t="s">
        <v>205</v>
      </c>
      <c r="B22" s="26" t="s">
        <v>224</v>
      </c>
      <c r="C22" s="25" t="s">
        <v>225</v>
      </c>
      <c r="D22" s="25" t="s">
        <v>226</v>
      </c>
      <c r="E22" s="27" t="n">
        <v>2722.73</v>
      </c>
      <c r="F22" s="27" t="n">
        <v>0</v>
      </c>
      <c r="G22" s="27" t="n">
        <v>0</v>
      </c>
      <c r="H22" s="27" t="n">
        <v>2722.73</v>
      </c>
      <c r="I22" s="27" t="n">
        <v>272.27</v>
      </c>
      <c r="J22" s="27" t="n">
        <v>272.27</v>
      </c>
      <c r="K22" s="27" t="n">
        <v>272.27</v>
      </c>
      <c r="L22" s="27" t="n">
        <v>0</v>
      </c>
    </row>
    <row r="23" customFormat="false" ht="15" hidden="false" customHeight="false" outlineLevel="0" collapsed="false">
      <c r="A23" s="25" t="s">
        <v>205</v>
      </c>
      <c r="B23" s="26" t="s">
        <v>227</v>
      </c>
      <c r="C23" s="25" t="s">
        <v>228</v>
      </c>
      <c r="D23" s="25" t="s">
        <v>226</v>
      </c>
      <c r="E23" s="27" t="n">
        <v>3631.82</v>
      </c>
      <c r="F23" s="27" t="n">
        <v>0</v>
      </c>
      <c r="G23" s="27" t="n">
        <v>0</v>
      </c>
      <c r="H23" s="27" t="n">
        <v>3631.82</v>
      </c>
      <c r="I23" s="27" t="n">
        <v>350</v>
      </c>
      <c r="J23" s="27" t="n">
        <v>175</v>
      </c>
      <c r="K23" s="27" t="n">
        <v>175</v>
      </c>
      <c r="L23" s="27" t="n">
        <v>0</v>
      </c>
    </row>
    <row r="24" customFormat="false" ht="15" hidden="false" customHeight="false" outlineLevel="0" collapsed="false">
      <c r="A24" s="25" t="s">
        <v>205</v>
      </c>
      <c r="B24" s="26" t="s">
        <v>229</v>
      </c>
      <c r="C24" s="25" t="s">
        <v>230</v>
      </c>
      <c r="D24" s="25" t="s">
        <v>231</v>
      </c>
      <c r="E24" s="27" t="n">
        <v>15984.55</v>
      </c>
      <c r="F24" s="27" t="n">
        <v>-81.82</v>
      </c>
      <c r="G24" s="27" t="n">
        <v>0</v>
      </c>
      <c r="H24" s="27" t="n">
        <v>15902.73</v>
      </c>
      <c r="I24" s="27" t="n">
        <v>1590.27</v>
      </c>
      <c r="J24" s="27" t="n">
        <v>1060.18</v>
      </c>
      <c r="K24" s="27" t="n">
        <v>1060.18</v>
      </c>
      <c r="L24" s="27" t="n">
        <v>0</v>
      </c>
    </row>
    <row r="25" customFormat="false" ht="15" hidden="false" customHeight="false" outlineLevel="0" collapsed="false">
      <c r="A25" s="25" t="s">
        <v>205</v>
      </c>
      <c r="B25" s="26" t="s">
        <v>232</v>
      </c>
      <c r="C25" s="25" t="s">
        <v>233</v>
      </c>
      <c r="D25" s="25" t="s">
        <v>234</v>
      </c>
      <c r="E25" s="27" t="n">
        <v>12297.82</v>
      </c>
      <c r="F25" s="27" t="n">
        <v>171.27</v>
      </c>
      <c r="G25" s="27" t="n">
        <v>0</v>
      </c>
      <c r="H25" s="27" t="n">
        <v>12469.09</v>
      </c>
      <c r="I25" s="27" t="n">
        <v>1246.91</v>
      </c>
      <c r="J25" s="27" t="n">
        <v>1246.91</v>
      </c>
      <c r="K25" s="27" t="n">
        <v>1246.91</v>
      </c>
      <c r="L25" s="27" t="n">
        <v>0</v>
      </c>
    </row>
    <row r="26" customFormat="false" ht="15" hidden="false" customHeight="false" outlineLevel="0" collapsed="false">
      <c r="A26" s="25" t="s">
        <v>205</v>
      </c>
      <c r="B26" s="26" t="s">
        <v>235</v>
      </c>
      <c r="C26" s="25" t="s">
        <v>236</v>
      </c>
      <c r="D26" s="25" t="s">
        <v>234</v>
      </c>
      <c r="E26" s="27" t="n">
        <v>9100</v>
      </c>
      <c r="F26" s="27" t="n">
        <v>-81.82</v>
      </c>
      <c r="G26" s="27" t="n">
        <v>0</v>
      </c>
      <c r="H26" s="27" t="n">
        <v>9018.18</v>
      </c>
      <c r="I26" s="27" t="n">
        <v>901.82</v>
      </c>
      <c r="J26" s="27" t="n">
        <v>901.82</v>
      </c>
      <c r="K26" s="27" t="n">
        <v>901.82</v>
      </c>
      <c r="L26" s="27" t="n">
        <v>0</v>
      </c>
    </row>
    <row r="27" customFormat="false" ht="15" hidden="false" customHeight="false" outlineLevel="0" collapsed="false">
      <c r="A27" s="25" t="s">
        <v>205</v>
      </c>
      <c r="B27" s="26" t="s">
        <v>237</v>
      </c>
      <c r="C27" s="25" t="s">
        <v>238</v>
      </c>
      <c r="D27" s="25" t="s">
        <v>239</v>
      </c>
      <c r="E27" s="27" t="n">
        <v>20173.64</v>
      </c>
      <c r="F27" s="27" t="n">
        <v>-122.73</v>
      </c>
      <c r="G27" s="27" t="n">
        <v>0</v>
      </c>
      <c r="H27" s="27" t="n">
        <v>20050.91</v>
      </c>
      <c r="I27" s="27" t="n">
        <v>2005.09</v>
      </c>
      <c r="J27" s="27" t="n">
        <v>1336.72</v>
      </c>
      <c r="K27" s="27" t="n">
        <v>1336.72</v>
      </c>
      <c r="L27" s="27" t="n">
        <v>0</v>
      </c>
    </row>
    <row r="28" customFormat="false" ht="15" hidden="false" customHeight="false" outlineLevel="0" collapsed="false">
      <c r="A28" s="25" t="s">
        <v>205</v>
      </c>
      <c r="B28" s="26" t="s">
        <v>240</v>
      </c>
      <c r="C28" s="25" t="s">
        <v>241</v>
      </c>
      <c r="D28" s="25" t="s">
        <v>242</v>
      </c>
      <c r="E28" s="27" t="n">
        <v>14123.27</v>
      </c>
      <c r="F28" s="27" t="n">
        <v>355.09</v>
      </c>
      <c r="G28" s="27" t="n">
        <v>0</v>
      </c>
      <c r="H28" s="27" t="n">
        <v>14478.36</v>
      </c>
      <c r="I28" s="27" t="n">
        <v>1447.84</v>
      </c>
      <c r="J28" s="27" t="n">
        <v>1447.84</v>
      </c>
      <c r="K28" s="27" t="n">
        <v>1447.84</v>
      </c>
      <c r="L28" s="27" t="n">
        <v>0</v>
      </c>
    </row>
    <row r="29" customFormat="false" ht="15" hidden="false" customHeight="false" outlineLevel="0" collapsed="false">
      <c r="A29" s="25" t="s">
        <v>205</v>
      </c>
      <c r="B29" s="26" t="s">
        <v>243</v>
      </c>
      <c r="C29" s="25" t="s">
        <v>244</v>
      </c>
      <c r="D29" s="25" t="s">
        <v>245</v>
      </c>
      <c r="E29" s="27" t="n">
        <v>5250</v>
      </c>
      <c r="F29" s="27" t="n">
        <v>0</v>
      </c>
      <c r="G29" s="27" t="n">
        <v>0</v>
      </c>
      <c r="H29" s="27" t="n">
        <v>5250</v>
      </c>
      <c r="I29" s="27" t="n">
        <v>1000</v>
      </c>
      <c r="J29" s="27" t="n">
        <v>500</v>
      </c>
      <c r="K29" s="27" t="n">
        <v>500</v>
      </c>
      <c r="L29" s="27" t="n">
        <v>0</v>
      </c>
    </row>
    <row r="30" customFormat="false" ht="15" hidden="false" customHeight="false" outlineLevel="0" collapsed="false">
      <c r="A30" s="25" t="s">
        <v>205</v>
      </c>
      <c r="B30" s="26" t="s">
        <v>246</v>
      </c>
      <c r="C30" s="25" t="s">
        <v>247</v>
      </c>
      <c r="D30" s="25" t="s">
        <v>248</v>
      </c>
      <c r="E30" s="27" t="n">
        <v>14318.18</v>
      </c>
      <c r="F30" s="27" t="n">
        <v>-647.27</v>
      </c>
      <c r="G30" s="27" t="n">
        <v>0</v>
      </c>
      <c r="H30" s="27" t="n">
        <v>13670.91</v>
      </c>
      <c r="I30" s="27" t="n">
        <v>1367.09</v>
      </c>
      <c r="J30" s="27" t="n">
        <v>1367.09</v>
      </c>
      <c r="K30" s="27" t="n">
        <v>1367.09</v>
      </c>
      <c r="L30" s="27" t="n">
        <v>0</v>
      </c>
    </row>
    <row r="31" customFormat="false" ht="15" hidden="false" customHeight="false" outlineLevel="0" collapsed="false">
      <c r="A31" s="25" t="s">
        <v>205</v>
      </c>
      <c r="B31" s="26" t="s">
        <v>249</v>
      </c>
      <c r="C31" s="25" t="s">
        <v>250</v>
      </c>
      <c r="D31" s="25" t="s">
        <v>251</v>
      </c>
      <c r="E31" s="27" t="n">
        <v>19359.09</v>
      </c>
      <c r="F31" s="27" t="n">
        <v>1400.45</v>
      </c>
      <c r="G31" s="27" t="n">
        <v>0</v>
      </c>
      <c r="H31" s="27" t="n">
        <v>20759.54</v>
      </c>
      <c r="I31" s="27" t="n">
        <v>2225</v>
      </c>
      <c r="J31" s="27" t="n">
        <v>1112.5</v>
      </c>
      <c r="K31" s="27" t="n">
        <v>1112.5</v>
      </c>
      <c r="L31" s="27" t="n">
        <v>0</v>
      </c>
    </row>
    <row r="32" customFormat="false" ht="15" hidden="false" customHeight="false" outlineLevel="0" collapsed="false">
      <c r="A32" s="25" t="s">
        <v>205</v>
      </c>
      <c r="B32" s="26" t="s">
        <v>252</v>
      </c>
      <c r="C32" s="25" t="s">
        <v>253</v>
      </c>
      <c r="D32" s="25" t="s">
        <v>254</v>
      </c>
      <c r="E32" s="27" t="n">
        <v>11706.91</v>
      </c>
      <c r="F32" s="27" t="n">
        <v>171.27</v>
      </c>
      <c r="G32" s="27" t="n">
        <v>0</v>
      </c>
      <c r="H32" s="27" t="n">
        <v>11878.18</v>
      </c>
      <c r="I32" s="27" t="n">
        <v>1100</v>
      </c>
      <c r="J32" s="27" t="n">
        <v>550</v>
      </c>
      <c r="K32" s="27" t="n">
        <v>550</v>
      </c>
      <c r="L32" s="27" t="n">
        <v>0</v>
      </c>
    </row>
    <row r="33" customFormat="false" ht="15" hidden="false" customHeight="false" outlineLevel="0" collapsed="false">
      <c r="A33" s="25" t="s">
        <v>205</v>
      </c>
      <c r="B33" s="26" t="s">
        <v>255</v>
      </c>
      <c r="C33" s="25" t="s">
        <v>256</v>
      </c>
      <c r="D33" s="25" t="s">
        <v>257</v>
      </c>
      <c r="E33" s="27" t="n">
        <v>26744.73</v>
      </c>
      <c r="F33" s="27" t="n">
        <v>336.09</v>
      </c>
      <c r="G33" s="27" t="n">
        <v>0</v>
      </c>
      <c r="H33" s="27" t="n">
        <v>27080.82</v>
      </c>
      <c r="I33" s="27" t="n">
        <v>2708.08</v>
      </c>
      <c r="J33" s="27" t="n">
        <v>1805.38</v>
      </c>
      <c r="K33" s="27" t="n">
        <v>1805.38</v>
      </c>
      <c r="L33" s="27" t="n">
        <v>0</v>
      </c>
    </row>
    <row r="34" customFormat="false" ht="15" hidden="false" customHeight="false" outlineLevel="0" collapsed="false">
      <c r="A34" s="25" t="s">
        <v>205</v>
      </c>
      <c r="B34" s="26" t="s">
        <v>258</v>
      </c>
      <c r="C34" s="25" t="s">
        <v>259</v>
      </c>
      <c r="D34" s="25" t="s">
        <v>260</v>
      </c>
      <c r="E34" s="27" t="n">
        <v>33123.82</v>
      </c>
      <c r="F34" s="27" t="n">
        <v>3526</v>
      </c>
      <c r="G34" s="27" t="n">
        <v>-5336.37</v>
      </c>
      <c r="H34" s="27" t="n">
        <v>31313.45</v>
      </c>
      <c r="I34" s="27" t="n">
        <v>3131.35</v>
      </c>
      <c r="J34" s="27" t="n">
        <v>3131.35</v>
      </c>
      <c r="K34" s="27" t="n">
        <v>3131.35</v>
      </c>
      <c r="L34" s="27" t="n">
        <v>0</v>
      </c>
    </row>
    <row r="35" customFormat="false" ht="15" hidden="false" customHeight="false" outlineLevel="0" collapsed="false">
      <c r="A35" s="25" t="s">
        <v>205</v>
      </c>
      <c r="B35" s="26" t="s">
        <v>261</v>
      </c>
      <c r="C35" s="25" t="s">
        <v>262</v>
      </c>
      <c r="D35" s="25" t="s">
        <v>263</v>
      </c>
      <c r="E35" s="27" t="n">
        <v>50870.91</v>
      </c>
      <c r="F35" s="27" t="n">
        <v>3168.36</v>
      </c>
      <c r="G35" s="27" t="n">
        <v>-9859.18</v>
      </c>
      <c r="H35" s="27" t="n">
        <v>44180.09</v>
      </c>
      <c r="I35" s="27" t="n">
        <v>4418.01</v>
      </c>
      <c r="J35" s="27" t="n">
        <v>4418.01</v>
      </c>
      <c r="K35" s="27" t="n">
        <v>4418.01</v>
      </c>
      <c r="L35" s="27" t="n">
        <v>0</v>
      </c>
    </row>
    <row r="36" customFormat="false" ht="15" hidden="false" customHeight="false" outlineLevel="0" collapsed="false">
      <c r="A36" s="25" t="s">
        <v>205</v>
      </c>
      <c r="B36" s="26" t="s">
        <v>264</v>
      </c>
      <c r="C36" s="25" t="s">
        <v>265</v>
      </c>
      <c r="D36" s="25" t="s">
        <v>266</v>
      </c>
      <c r="E36" s="27" t="n">
        <v>17844.55</v>
      </c>
      <c r="F36" s="27" t="n">
        <v>-500</v>
      </c>
      <c r="G36" s="27" t="n">
        <v>0</v>
      </c>
      <c r="H36" s="27" t="n">
        <v>17344.55</v>
      </c>
      <c r="I36" s="27" t="n">
        <v>1734.46</v>
      </c>
      <c r="J36" s="27" t="n">
        <v>1734.46</v>
      </c>
      <c r="K36" s="27" t="n">
        <v>1734.46</v>
      </c>
      <c r="L36" s="27" t="n">
        <v>0</v>
      </c>
    </row>
    <row r="37" customFormat="false" ht="15" hidden="false" customHeight="false" outlineLevel="0" collapsed="false">
      <c r="A37" s="25" t="s">
        <v>205</v>
      </c>
      <c r="B37" s="26" t="s">
        <v>267</v>
      </c>
      <c r="C37" s="25" t="s">
        <v>268</v>
      </c>
      <c r="D37" s="25" t="s">
        <v>269</v>
      </c>
      <c r="E37" s="27" t="n">
        <v>17268.18</v>
      </c>
      <c r="F37" s="27" t="n">
        <v>-636.36</v>
      </c>
      <c r="G37" s="27" t="n">
        <v>0</v>
      </c>
      <c r="H37" s="27" t="n">
        <v>16631.82</v>
      </c>
      <c r="I37" s="27" t="n">
        <v>1663.18</v>
      </c>
      <c r="J37" s="27" t="n">
        <v>0</v>
      </c>
      <c r="K37" s="27" t="n">
        <v>0</v>
      </c>
      <c r="L37" s="27" t="n">
        <v>0</v>
      </c>
    </row>
    <row r="38" customFormat="false" ht="15" hidden="false" customHeight="false" outlineLevel="0" collapsed="false">
      <c r="A38" s="25" t="s">
        <v>205</v>
      </c>
      <c r="B38" s="26" t="s">
        <v>270</v>
      </c>
      <c r="C38" s="25" t="s">
        <v>271</v>
      </c>
      <c r="D38" s="25" t="s">
        <v>272</v>
      </c>
      <c r="E38" s="27" t="n">
        <v>20250</v>
      </c>
      <c r="F38" s="27" t="n">
        <v>-5207.27</v>
      </c>
      <c r="G38" s="27" t="n">
        <v>0</v>
      </c>
      <c r="H38" s="27" t="n">
        <v>15042.73</v>
      </c>
      <c r="I38" s="27" t="n">
        <v>0</v>
      </c>
      <c r="J38" s="27" t="n">
        <v>0</v>
      </c>
      <c r="K38" s="27" t="n">
        <v>0</v>
      </c>
      <c r="L38" s="27" t="n">
        <v>0</v>
      </c>
    </row>
    <row r="39" customFormat="false" ht="15" hidden="false" customHeight="false" outlineLevel="0" collapsed="false">
      <c r="A39" s="25" t="s">
        <v>205</v>
      </c>
      <c r="B39" s="26" t="s">
        <v>273</v>
      </c>
      <c r="C39" s="25" t="s">
        <v>274</v>
      </c>
      <c r="D39" s="25" t="s">
        <v>275</v>
      </c>
      <c r="E39" s="27" t="n">
        <v>24076.18</v>
      </c>
      <c r="F39" s="27" t="n">
        <v>-899.82</v>
      </c>
      <c r="G39" s="27" t="n">
        <v>-2451.07</v>
      </c>
      <c r="H39" s="27" t="n">
        <v>20725.29</v>
      </c>
      <c r="I39" s="27" t="n">
        <v>2072.53</v>
      </c>
      <c r="J39" s="27" t="n">
        <v>690.84</v>
      </c>
      <c r="K39" s="27" t="n">
        <v>690.84</v>
      </c>
      <c r="L39" s="27" t="n">
        <v>0</v>
      </c>
    </row>
    <row r="40" customFormat="false" ht="15" hidden="false" customHeight="false" outlineLevel="0" collapsed="false">
      <c r="A40" s="25" t="s">
        <v>205</v>
      </c>
      <c r="B40" s="26" t="s">
        <v>276</v>
      </c>
      <c r="C40" s="25" t="s">
        <v>277</v>
      </c>
      <c r="D40" s="25" t="s">
        <v>275</v>
      </c>
      <c r="E40" s="27" t="n">
        <v>22776.37</v>
      </c>
      <c r="F40" s="27" t="n">
        <v>2040.91</v>
      </c>
      <c r="G40" s="27" t="n">
        <v>-3496.51</v>
      </c>
      <c r="H40" s="27" t="n">
        <v>21320.77</v>
      </c>
      <c r="I40" s="27" t="n">
        <v>2132.08</v>
      </c>
      <c r="J40" s="27" t="n">
        <v>2132.08</v>
      </c>
      <c r="K40" s="27" t="n">
        <v>2132.08</v>
      </c>
      <c r="L40" s="27" t="n">
        <v>0</v>
      </c>
    </row>
    <row r="41" customFormat="false" ht="15" hidden="false" customHeight="false" outlineLevel="0" collapsed="false">
      <c r="A41" s="25" t="s">
        <v>205</v>
      </c>
      <c r="B41" s="26" t="s">
        <v>278</v>
      </c>
      <c r="C41" s="25" t="s">
        <v>279</v>
      </c>
      <c r="D41" s="25" t="s">
        <v>280</v>
      </c>
      <c r="E41" s="27" t="n">
        <v>28526.55</v>
      </c>
      <c r="F41" s="27" t="n">
        <v>-1460.73</v>
      </c>
      <c r="G41" s="27" t="n">
        <v>-3466.87</v>
      </c>
      <c r="H41" s="27" t="n">
        <v>23598.95</v>
      </c>
      <c r="I41" s="27" t="n">
        <v>2359.9</v>
      </c>
      <c r="J41" s="27" t="n">
        <v>786.64</v>
      </c>
      <c r="K41" s="27" t="n">
        <v>786.64</v>
      </c>
      <c r="L41" s="27" t="n">
        <v>0</v>
      </c>
    </row>
    <row r="42" customFormat="false" ht="15" hidden="false" customHeight="false" outlineLevel="0" collapsed="false">
      <c r="A42" s="25" t="s">
        <v>205</v>
      </c>
      <c r="B42" s="26" t="s">
        <v>281</v>
      </c>
      <c r="C42" s="25" t="s">
        <v>282</v>
      </c>
      <c r="D42" s="25" t="s">
        <v>280</v>
      </c>
      <c r="E42" s="27" t="n">
        <v>30136.37</v>
      </c>
      <c r="F42" s="27" t="n">
        <v>-3362.18</v>
      </c>
      <c r="G42" s="27" t="n">
        <v>-3790.81</v>
      </c>
      <c r="H42" s="27" t="n">
        <v>22983.38</v>
      </c>
      <c r="I42" s="27" t="n">
        <v>2298.34</v>
      </c>
      <c r="J42" s="27" t="n">
        <v>766.12</v>
      </c>
      <c r="K42" s="27" t="n">
        <v>766.12</v>
      </c>
      <c r="L42" s="27" t="n">
        <v>0</v>
      </c>
    </row>
    <row r="43" customFormat="false" ht="15" hidden="false" customHeight="false" outlineLevel="0" collapsed="false">
      <c r="A43" s="25" t="s">
        <v>205</v>
      </c>
      <c r="B43" s="26" t="s">
        <v>283</v>
      </c>
      <c r="C43" s="25" t="s">
        <v>284</v>
      </c>
      <c r="D43" s="25" t="s">
        <v>285</v>
      </c>
      <c r="E43" s="27" t="n">
        <v>43775.27</v>
      </c>
      <c r="F43" s="27" t="n">
        <v>-375.09</v>
      </c>
      <c r="G43" s="27" t="n">
        <v>-6842.94</v>
      </c>
      <c r="H43" s="27" t="n">
        <v>36557.24</v>
      </c>
      <c r="I43" s="27" t="n">
        <v>3655.72</v>
      </c>
      <c r="J43" s="27" t="n">
        <v>1218.58</v>
      </c>
      <c r="K43" s="27" t="n">
        <v>1218.58</v>
      </c>
      <c r="L43" s="27" t="n">
        <v>0</v>
      </c>
    </row>
    <row r="44" customFormat="false" ht="15" hidden="false" customHeight="false" outlineLevel="0" collapsed="false">
      <c r="A44" s="25" t="s">
        <v>205</v>
      </c>
      <c r="B44" s="26" t="s">
        <v>286</v>
      </c>
      <c r="C44" s="25" t="s">
        <v>287</v>
      </c>
      <c r="D44" s="25" t="s">
        <v>288</v>
      </c>
      <c r="E44" s="27" t="n">
        <v>28636.36</v>
      </c>
      <c r="F44" s="27" t="n">
        <v>-704.72</v>
      </c>
      <c r="G44" s="27" t="n">
        <v>0</v>
      </c>
      <c r="H44" s="27" t="n">
        <v>27931.64</v>
      </c>
      <c r="I44" s="27" t="n">
        <v>2793.16</v>
      </c>
      <c r="J44" s="27" t="n">
        <v>1396.58</v>
      </c>
      <c r="K44" s="27" t="n">
        <v>1396.58</v>
      </c>
      <c r="L44" s="27" t="n">
        <v>0</v>
      </c>
    </row>
    <row r="45" customFormat="false" ht="15" hidden="false" customHeight="false" outlineLevel="0" collapsed="false">
      <c r="A45" s="25" t="s">
        <v>205</v>
      </c>
      <c r="B45" s="26" t="s">
        <v>289</v>
      </c>
      <c r="C45" s="25" t="s">
        <v>290</v>
      </c>
      <c r="D45" s="25" t="s">
        <v>291</v>
      </c>
      <c r="E45" s="27" t="n">
        <v>30709.09</v>
      </c>
      <c r="F45" s="27" t="n">
        <v>71.82</v>
      </c>
      <c r="G45" s="27" t="n">
        <v>0</v>
      </c>
      <c r="H45" s="27" t="n">
        <v>30780.91</v>
      </c>
      <c r="I45" s="27" t="n">
        <v>3078.09</v>
      </c>
      <c r="J45" s="27" t="n">
        <v>769.52</v>
      </c>
      <c r="K45" s="27" t="n">
        <v>769.52</v>
      </c>
      <c r="L45" s="27" t="n">
        <v>0</v>
      </c>
    </row>
    <row r="46" customFormat="false" ht="15" hidden="false" customHeight="false" outlineLevel="0" collapsed="false">
      <c r="A46" s="25" t="s">
        <v>205</v>
      </c>
      <c r="B46" s="26" t="s">
        <v>292</v>
      </c>
      <c r="C46" s="25" t="s">
        <v>293</v>
      </c>
      <c r="D46" s="25" t="s">
        <v>291</v>
      </c>
      <c r="E46" s="27" t="n">
        <v>13304.54</v>
      </c>
      <c r="F46" s="27" t="n">
        <v>1120.37</v>
      </c>
      <c r="G46" s="27" t="n">
        <v>0</v>
      </c>
      <c r="H46" s="27" t="n">
        <v>14424.91</v>
      </c>
      <c r="I46" s="27" t="n">
        <v>1442.49</v>
      </c>
      <c r="J46" s="27" t="n">
        <v>360.62</v>
      </c>
      <c r="K46" s="27" t="n">
        <v>360.62</v>
      </c>
      <c r="L46" s="27" t="n">
        <v>0</v>
      </c>
    </row>
    <row r="47" customFormat="false" ht="15" hidden="false" customHeight="false" outlineLevel="0" collapsed="false">
      <c r="A47" s="25" t="s">
        <v>205</v>
      </c>
      <c r="B47" s="26" t="s">
        <v>294</v>
      </c>
      <c r="C47" s="25" t="s">
        <v>295</v>
      </c>
      <c r="D47" s="25" t="s">
        <v>296</v>
      </c>
      <c r="E47" s="27" t="n">
        <v>37204.55</v>
      </c>
      <c r="F47" s="27" t="n">
        <v>-3412.73</v>
      </c>
      <c r="G47" s="27" t="n">
        <v>-3506.34</v>
      </c>
      <c r="H47" s="27" t="n">
        <v>30285.48</v>
      </c>
      <c r="I47" s="27" t="n">
        <v>3028.55</v>
      </c>
      <c r="J47" s="27" t="n">
        <v>757.14</v>
      </c>
      <c r="K47" s="27" t="n">
        <v>757.14</v>
      </c>
      <c r="L47" s="27" t="n">
        <v>0</v>
      </c>
    </row>
    <row r="48" customFormat="false" ht="15" hidden="false" customHeight="false" outlineLevel="0" collapsed="false">
      <c r="A48" s="25" t="s">
        <v>205</v>
      </c>
      <c r="B48" s="26" t="s">
        <v>297</v>
      </c>
      <c r="C48" s="25" t="s">
        <v>298</v>
      </c>
      <c r="D48" s="25" t="s">
        <v>296</v>
      </c>
      <c r="E48" s="27" t="n">
        <v>21751.81</v>
      </c>
      <c r="F48" s="27" t="n">
        <v>-761.36</v>
      </c>
      <c r="G48" s="27" t="n">
        <v>0</v>
      </c>
      <c r="H48" s="27" t="n">
        <v>20990.45</v>
      </c>
      <c r="I48" s="27" t="n">
        <v>2099.05</v>
      </c>
      <c r="J48" s="27" t="n">
        <v>1049.52</v>
      </c>
      <c r="K48" s="27" t="n">
        <v>1049.52</v>
      </c>
      <c r="L48" s="27" t="n">
        <v>0</v>
      </c>
    </row>
    <row r="49" customFormat="false" ht="15" hidden="false" customHeight="false" outlineLevel="0" collapsed="false">
      <c r="A49" s="25" t="s">
        <v>205</v>
      </c>
      <c r="B49" s="26" t="s">
        <v>299</v>
      </c>
      <c r="C49" s="25" t="s">
        <v>300</v>
      </c>
      <c r="D49" s="25" t="s">
        <v>301</v>
      </c>
      <c r="E49" s="27" t="n">
        <v>20408.18</v>
      </c>
      <c r="F49" s="27" t="n">
        <v>993.64</v>
      </c>
      <c r="G49" s="27" t="n">
        <v>-1528.34</v>
      </c>
      <c r="H49" s="27" t="n">
        <v>19873.48</v>
      </c>
      <c r="I49" s="27" t="n">
        <v>1987.35</v>
      </c>
      <c r="J49" s="27" t="n">
        <v>496.84</v>
      </c>
      <c r="K49" s="27" t="n">
        <v>496.84</v>
      </c>
      <c r="L49" s="27" t="n">
        <v>0</v>
      </c>
    </row>
    <row r="50" customFormat="false" ht="15" hidden="false" customHeight="false" outlineLevel="0" collapsed="false">
      <c r="A50" s="25" t="s">
        <v>205</v>
      </c>
      <c r="B50" s="26" t="s">
        <v>302</v>
      </c>
      <c r="C50" s="25" t="s">
        <v>303</v>
      </c>
      <c r="D50" s="25" t="s">
        <v>301</v>
      </c>
      <c r="E50" s="27" t="n">
        <v>26544.73</v>
      </c>
      <c r="F50" s="27" t="n">
        <v>-610</v>
      </c>
      <c r="G50" s="27" t="n">
        <v>0</v>
      </c>
      <c r="H50" s="27" t="n">
        <v>25934.73</v>
      </c>
      <c r="I50" s="27" t="n">
        <v>2593.47</v>
      </c>
      <c r="J50" s="27" t="n">
        <v>648.37</v>
      </c>
      <c r="K50" s="27" t="n">
        <v>648.37</v>
      </c>
      <c r="L50" s="27" t="n">
        <v>0</v>
      </c>
    </row>
    <row r="51" customFormat="false" ht="15" hidden="false" customHeight="false" outlineLevel="0" collapsed="false">
      <c r="A51" s="25" t="s">
        <v>205</v>
      </c>
      <c r="B51" s="26" t="s">
        <v>304</v>
      </c>
      <c r="C51" s="25" t="s">
        <v>305</v>
      </c>
      <c r="D51" s="25" t="s">
        <v>306</v>
      </c>
      <c r="E51" s="27" t="n">
        <v>52279.51</v>
      </c>
      <c r="F51" s="27" t="n">
        <v>-5689.37</v>
      </c>
      <c r="G51" s="27" t="n">
        <v>0</v>
      </c>
      <c r="H51" s="27" t="n">
        <v>46590.14</v>
      </c>
      <c r="I51" s="27" t="n">
        <v>4659.01</v>
      </c>
      <c r="J51" s="27" t="n">
        <v>4659.01</v>
      </c>
      <c r="K51" s="27" t="n">
        <v>4659.01</v>
      </c>
      <c r="L51" s="27" t="n">
        <v>0</v>
      </c>
    </row>
    <row r="52" customFormat="false" ht="15" hidden="false" customHeight="false" outlineLevel="0" collapsed="false">
      <c r="A52" s="25" t="s">
        <v>205</v>
      </c>
      <c r="B52" s="26" t="s">
        <v>307</v>
      </c>
      <c r="C52" s="25" t="s">
        <v>308</v>
      </c>
      <c r="D52" s="25" t="s">
        <v>309</v>
      </c>
      <c r="E52" s="27" t="n">
        <v>25261</v>
      </c>
      <c r="F52" s="27" t="n">
        <v>1548.55</v>
      </c>
      <c r="G52" s="27" t="n">
        <v>0</v>
      </c>
      <c r="H52" s="27" t="n">
        <v>26809.55</v>
      </c>
      <c r="I52" s="27" t="n">
        <v>2680.96</v>
      </c>
      <c r="J52" s="27" t="n">
        <v>893.66</v>
      </c>
      <c r="K52" s="27" t="n">
        <v>893.66</v>
      </c>
      <c r="L52" s="27" t="n">
        <v>0</v>
      </c>
    </row>
    <row r="53" customFormat="false" ht="15" hidden="false" customHeight="false" outlineLevel="0" collapsed="false">
      <c r="A53" s="25" t="s">
        <v>205</v>
      </c>
      <c r="B53" s="26" t="s">
        <v>310</v>
      </c>
      <c r="C53" s="25" t="s">
        <v>311</v>
      </c>
      <c r="D53" s="25" t="s">
        <v>309</v>
      </c>
      <c r="E53" s="27" t="n">
        <v>25545.45</v>
      </c>
      <c r="F53" s="27" t="n">
        <v>-4801.09</v>
      </c>
      <c r="G53" s="27" t="n">
        <v>0</v>
      </c>
      <c r="H53" s="27" t="n">
        <v>20744.36</v>
      </c>
      <c r="I53" s="27" t="n">
        <v>2074.44</v>
      </c>
      <c r="J53" s="27" t="n">
        <v>1037.22</v>
      </c>
      <c r="K53" s="27" t="n">
        <v>1037.22</v>
      </c>
      <c r="L53" s="27" t="n">
        <v>0</v>
      </c>
    </row>
    <row r="54" customFormat="false" ht="15" hidden="false" customHeight="false" outlineLevel="0" collapsed="false">
      <c r="A54" s="25" t="s">
        <v>205</v>
      </c>
      <c r="B54" s="26" t="s">
        <v>312</v>
      </c>
      <c r="C54" s="25" t="s">
        <v>313</v>
      </c>
      <c r="D54" s="25" t="s">
        <v>309</v>
      </c>
      <c r="E54" s="27" t="n">
        <v>23826.93</v>
      </c>
      <c r="F54" s="27" t="n">
        <v>53.07</v>
      </c>
      <c r="G54" s="27" t="n">
        <v>0</v>
      </c>
      <c r="H54" s="27" t="n">
        <v>23880</v>
      </c>
      <c r="I54" s="27" t="n">
        <v>2388</v>
      </c>
      <c r="J54" s="27" t="n">
        <v>2388</v>
      </c>
      <c r="K54" s="27" t="n">
        <v>2388</v>
      </c>
      <c r="L54" s="27" t="n">
        <v>0</v>
      </c>
    </row>
    <row r="55" customFormat="false" ht="15" hidden="false" customHeight="false" outlineLevel="0" collapsed="false">
      <c r="A55" s="25" t="s">
        <v>205</v>
      </c>
      <c r="B55" s="26" t="s">
        <v>314</v>
      </c>
      <c r="C55" s="25" t="s">
        <v>315</v>
      </c>
      <c r="D55" s="25" t="s">
        <v>316</v>
      </c>
      <c r="E55" s="27" t="n">
        <v>27253.63</v>
      </c>
      <c r="F55" s="27" t="n">
        <v>455.09</v>
      </c>
      <c r="G55" s="27" t="n">
        <v>0</v>
      </c>
      <c r="H55" s="27" t="n">
        <v>27708.72</v>
      </c>
      <c r="I55" s="27" t="n">
        <v>2770.87</v>
      </c>
      <c r="J55" s="27" t="n">
        <v>2770.87</v>
      </c>
      <c r="K55" s="27" t="n">
        <v>2770.87</v>
      </c>
      <c r="L55" s="27" t="n">
        <v>0</v>
      </c>
    </row>
    <row r="56" customFormat="false" ht="15" hidden="false" customHeight="false" outlineLevel="0" collapsed="false">
      <c r="A56" s="25" t="s">
        <v>205</v>
      </c>
      <c r="B56" s="26" t="s">
        <v>317</v>
      </c>
      <c r="C56" s="25" t="s">
        <v>318</v>
      </c>
      <c r="D56" s="25" t="s">
        <v>319</v>
      </c>
      <c r="E56" s="27" t="n">
        <v>30827.27</v>
      </c>
      <c r="F56" s="27" t="n">
        <v>566</v>
      </c>
      <c r="G56" s="27" t="n">
        <v>0</v>
      </c>
      <c r="H56" s="27" t="n">
        <v>31393.27</v>
      </c>
      <c r="I56" s="27" t="n">
        <v>3139.33</v>
      </c>
      <c r="J56" s="27" t="n">
        <v>1255.74</v>
      </c>
      <c r="K56" s="27" t="n">
        <v>1255.74</v>
      </c>
      <c r="L56" s="27" t="n">
        <v>0</v>
      </c>
    </row>
    <row r="57" customFormat="false" ht="15" hidden="false" customHeight="false" outlineLevel="0" collapsed="false">
      <c r="A57" s="25" t="s">
        <v>205</v>
      </c>
      <c r="B57" s="26" t="s">
        <v>320</v>
      </c>
      <c r="C57" s="25" t="s">
        <v>321</v>
      </c>
      <c r="D57" s="25" t="s">
        <v>322</v>
      </c>
      <c r="E57" s="27" t="n">
        <v>22090</v>
      </c>
      <c r="F57" s="27" t="n">
        <v>-138.91</v>
      </c>
      <c r="G57" s="27" t="n">
        <v>0</v>
      </c>
      <c r="H57" s="27" t="n">
        <v>21951.09</v>
      </c>
      <c r="I57" s="27" t="n">
        <v>2195.11</v>
      </c>
      <c r="J57" s="27" t="n">
        <v>878.04</v>
      </c>
      <c r="K57" s="27" t="n">
        <v>878.04</v>
      </c>
      <c r="L57" s="27" t="n">
        <v>0</v>
      </c>
    </row>
    <row r="58" customFormat="false" ht="15" hidden="false" customHeight="false" outlineLevel="0" collapsed="false">
      <c r="A58" s="25" t="s">
        <v>205</v>
      </c>
      <c r="B58" s="26" t="s">
        <v>323</v>
      </c>
      <c r="C58" s="25" t="s">
        <v>324</v>
      </c>
      <c r="D58" s="25" t="s">
        <v>322</v>
      </c>
      <c r="E58" s="27" t="n">
        <v>20118.18</v>
      </c>
      <c r="F58" s="27" t="n">
        <v>1077.09</v>
      </c>
      <c r="G58" s="27" t="n">
        <v>0</v>
      </c>
      <c r="H58" s="27" t="n">
        <v>21195.27</v>
      </c>
      <c r="I58" s="27" t="n">
        <v>2119.53</v>
      </c>
      <c r="J58" s="27" t="n">
        <v>847.82</v>
      </c>
      <c r="K58" s="27" t="n">
        <v>847.82</v>
      </c>
      <c r="L58" s="27" t="n">
        <v>0</v>
      </c>
    </row>
    <row r="59" customFormat="false" ht="15" hidden="false" customHeight="false" outlineLevel="0" collapsed="false">
      <c r="A59" s="25" t="s">
        <v>205</v>
      </c>
      <c r="B59" s="26" t="s">
        <v>325</v>
      </c>
      <c r="C59" s="25" t="s">
        <v>326</v>
      </c>
      <c r="D59" s="25" t="s">
        <v>327</v>
      </c>
      <c r="E59" s="27" t="n">
        <v>33354.55</v>
      </c>
      <c r="F59" s="27" t="n">
        <v>-949.8</v>
      </c>
      <c r="G59" s="27" t="n">
        <v>-5225.2</v>
      </c>
      <c r="H59" s="27" t="n">
        <v>27179.55</v>
      </c>
      <c r="I59" s="27" t="n">
        <v>2717.96</v>
      </c>
      <c r="J59" s="27" t="n">
        <v>1087.18</v>
      </c>
      <c r="K59" s="27" t="n">
        <v>1087.18</v>
      </c>
      <c r="L59" s="27" t="n">
        <v>0</v>
      </c>
    </row>
    <row r="60" customFormat="false" ht="15" hidden="false" customHeight="false" outlineLevel="0" collapsed="false">
      <c r="A60" s="25" t="s">
        <v>205</v>
      </c>
      <c r="B60" s="26" t="s">
        <v>328</v>
      </c>
      <c r="C60" s="25" t="s">
        <v>329</v>
      </c>
      <c r="D60" s="25" t="s">
        <v>330</v>
      </c>
      <c r="E60" s="27" t="n">
        <v>34665.68</v>
      </c>
      <c r="F60" s="27" t="n">
        <v>0</v>
      </c>
      <c r="G60" s="27" t="n">
        <v>-5624.98</v>
      </c>
      <c r="H60" s="27" t="n">
        <v>29040.7</v>
      </c>
      <c r="I60" s="27" t="n">
        <v>2904.07</v>
      </c>
      <c r="J60" s="27" t="n">
        <v>1161.62</v>
      </c>
      <c r="K60" s="27" t="n">
        <v>1161.62</v>
      </c>
      <c r="L60" s="27" t="n">
        <v>0</v>
      </c>
    </row>
    <row r="61" customFormat="false" ht="15" hidden="false" customHeight="false" outlineLevel="0" collapsed="false">
      <c r="A61" s="25" t="s">
        <v>205</v>
      </c>
      <c r="B61" s="26" t="s">
        <v>328</v>
      </c>
      <c r="C61" s="25" t="s">
        <v>331</v>
      </c>
      <c r="D61" s="25" t="s">
        <v>330</v>
      </c>
      <c r="E61" s="27" t="n">
        <v>34665.68</v>
      </c>
      <c r="F61" s="27" t="n">
        <v>922.36</v>
      </c>
      <c r="G61" s="27" t="n">
        <v>-5624.99</v>
      </c>
      <c r="H61" s="27" t="n">
        <v>29963.05</v>
      </c>
      <c r="I61" s="27" t="n">
        <v>2996.31</v>
      </c>
      <c r="J61" s="27" t="n">
        <v>1198.52</v>
      </c>
      <c r="K61" s="27" t="n">
        <v>1198.52</v>
      </c>
      <c r="L61" s="27" t="n">
        <v>0</v>
      </c>
    </row>
    <row r="62" customFormat="false" ht="15" hidden="false" customHeight="false" outlineLevel="0" collapsed="false">
      <c r="A62" s="25" t="s">
        <v>205</v>
      </c>
      <c r="B62" s="26" t="s">
        <v>332</v>
      </c>
      <c r="C62" s="25" t="s">
        <v>333</v>
      </c>
      <c r="D62" s="25" t="s">
        <v>330</v>
      </c>
      <c r="E62" s="27" t="n">
        <v>21516.36</v>
      </c>
      <c r="F62" s="27" t="n">
        <v>-1332.18</v>
      </c>
      <c r="G62" s="27" t="n">
        <v>-3148.25</v>
      </c>
      <c r="H62" s="27" t="n">
        <v>17035.93</v>
      </c>
      <c r="I62" s="27" t="n">
        <v>1703.59</v>
      </c>
      <c r="J62" s="27" t="n">
        <v>681.44</v>
      </c>
      <c r="K62" s="27" t="n">
        <v>681.44</v>
      </c>
      <c r="L62" s="27" t="n">
        <v>0</v>
      </c>
    </row>
    <row r="63" customFormat="false" ht="15" hidden="false" customHeight="false" outlineLevel="0" collapsed="false">
      <c r="A63" s="25" t="s">
        <v>205</v>
      </c>
      <c r="B63" s="26" t="s">
        <v>334</v>
      </c>
      <c r="C63" s="25" t="s">
        <v>335</v>
      </c>
      <c r="D63" s="25" t="s">
        <v>336</v>
      </c>
      <c r="E63" s="27" t="n">
        <v>19500</v>
      </c>
      <c r="F63" s="27" t="n">
        <v>-2419.64</v>
      </c>
      <c r="G63" s="27" t="n">
        <v>-1920.55</v>
      </c>
      <c r="H63" s="27" t="n">
        <v>15159.81</v>
      </c>
      <c r="I63" s="27" t="n">
        <v>2200</v>
      </c>
      <c r="J63" s="27" t="n">
        <v>1100</v>
      </c>
      <c r="K63" s="27" t="n">
        <v>1100</v>
      </c>
      <c r="L63" s="27" t="n">
        <v>0</v>
      </c>
    </row>
    <row r="64" customFormat="false" ht="15" hidden="false" customHeight="false" outlineLevel="0" collapsed="false">
      <c r="A64" s="25" t="s">
        <v>205</v>
      </c>
      <c r="B64" s="26" t="s">
        <v>337</v>
      </c>
      <c r="C64" s="25" t="s">
        <v>338</v>
      </c>
      <c r="D64" s="25" t="s">
        <v>339</v>
      </c>
      <c r="E64" s="27" t="n">
        <v>41930</v>
      </c>
      <c r="F64" s="27" t="n">
        <v>1210.09</v>
      </c>
      <c r="G64" s="27" t="n">
        <v>0</v>
      </c>
      <c r="H64" s="27" t="n">
        <v>43140.09</v>
      </c>
      <c r="I64" s="27" t="n">
        <v>4314.01</v>
      </c>
      <c r="J64" s="27" t="n">
        <v>3235.51</v>
      </c>
      <c r="K64" s="27" t="n">
        <v>3235.51</v>
      </c>
      <c r="L64" s="27" t="n">
        <v>0</v>
      </c>
    </row>
    <row r="65" customFormat="false" ht="15" hidden="false" customHeight="false" outlineLevel="0" collapsed="false">
      <c r="A65" s="25" t="s">
        <v>205</v>
      </c>
      <c r="B65" s="26" t="s">
        <v>340</v>
      </c>
      <c r="C65" s="25" t="s">
        <v>341</v>
      </c>
      <c r="D65" s="25" t="s">
        <v>342</v>
      </c>
      <c r="E65" s="27" t="n">
        <v>25390</v>
      </c>
      <c r="F65" s="27" t="n">
        <v>204.37</v>
      </c>
      <c r="G65" s="27" t="n">
        <v>0</v>
      </c>
      <c r="H65" s="27" t="n">
        <v>25594.37</v>
      </c>
      <c r="I65" s="27" t="n">
        <v>0</v>
      </c>
      <c r="J65" s="27" t="n">
        <v>0</v>
      </c>
      <c r="K65" s="27" t="n">
        <v>0</v>
      </c>
      <c r="L65" s="27" t="n">
        <v>0</v>
      </c>
    </row>
    <row r="66" customFormat="false" ht="15" hidden="false" customHeight="false" outlineLevel="0" collapsed="false">
      <c r="A66" s="25" t="s">
        <v>205</v>
      </c>
      <c r="B66" s="26" t="s">
        <v>343</v>
      </c>
      <c r="C66" s="25" t="s">
        <v>344</v>
      </c>
      <c r="D66" s="25" t="s">
        <v>345</v>
      </c>
      <c r="E66" s="27" t="n">
        <v>21468.18</v>
      </c>
      <c r="F66" s="27" t="n">
        <v>-49.27</v>
      </c>
      <c r="G66" s="27" t="n">
        <v>0</v>
      </c>
      <c r="H66" s="27" t="n">
        <v>21418.91</v>
      </c>
      <c r="I66" s="27" t="n">
        <v>2141.89</v>
      </c>
      <c r="J66" s="27" t="n">
        <v>1070.94</v>
      </c>
      <c r="K66" s="27" t="n">
        <v>1070.94</v>
      </c>
      <c r="L66" s="27" t="n">
        <v>0</v>
      </c>
    </row>
    <row r="67" customFormat="false" ht="15" hidden="false" customHeight="false" outlineLevel="0" collapsed="false">
      <c r="A67" s="25" t="s">
        <v>205</v>
      </c>
      <c r="B67" s="26" t="s">
        <v>346</v>
      </c>
      <c r="C67" s="25" t="s">
        <v>347</v>
      </c>
      <c r="D67" s="25" t="s">
        <v>348</v>
      </c>
      <c r="E67" s="27" t="n">
        <v>31957.27</v>
      </c>
      <c r="F67" s="27" t="n">
        <v>-1183.27</v>
      </c>
      <c r="G67" s="27" t="n">
        <v>0</v>
      </c>
      <c r="H67" s="27" t="n">
        <v>30774</v>
      </c>
      <c r="I67" s="27" t="n">
        <v>3077.4</v>
      </c>
      <c r="J67" s="27" t="n">
        <v>0</v>
      </c>
      <c r="K67" s="27" t="n">
        <v>0</v>
      </c>
      <c r="L67" s="27" t="n">
        <v>0</v>
      </c>
    </row>
    <row r="68" customFormat="false" ht="15" hidden="false" customHeight="false" outlineLevel="0" collapsed="false">
      <c r="A68" s="25" t="s">
        <v>205</v>
      </c>
      <c r="B68" s="26" t="s">
        <v>349</v>
      </c>
      <c r="C68" s="25" t="s">
        <v>350</v>
      </c>
      <c r="D68" s="25" t="s">
        <v>351</v>
      </c>
      <c r="E68" s="27" t="n">
        <v>44461.82</v>
      </c>
      <c r="F68" s="27" t="n">
        <v>989.09</v>
      </c>
      <c r="G68" s="27" t="n">
        <v>-6987.25</v>
      </c>
      <c r="H68" s="27" t="n">
        <v>38463.66</v>
      </c>
      <c r="I68" s="27" t="n">
        <v>3846.37</v>
      </c>
      <c r="J68" s="27" t="n">
        <v>3846.37</v>
      </c>
      <c r="K68" s="27" t="n">
        <v>3846.37</v>
      </c>
      <c r="L68" s="27" t="n">
        <v>0</v>
      </c>
    </row>
    <row r="69" customFormat="false" ht="15" hidden="false" customHeight="false" outlineLevel="0" collapsed="false">
      <c r="A69" s="25" t="s">
        <v>205</v>
      </c>
      <c r="B69" s="26" t="s">
        <v>352</v>
      </c>
      <c r="C69" s="25" t="s">
        <v>353</v>
      </c>
      <c r="D69" s="25" t="s">
        <v>354</v>
      </c>
      <c r="E69" s="27" t="n">
        <v>63424.55</v>
      </c>
      <c r="F69" s="27" t="n">
        <v>1616</v>
      </c>
      <c r="G69" s="27" t="n">
        <v>-9847.73</v>
      </c>
      <c r="H69" s="27" t="n">
        <v>55192.82</v>
      </c>
      <c r="I69" s="27" t="n">
        <v>5519.28</v>
      </c>
      <c r="J69" s="27" t="n">
        <v>5519.28</v>
      </c>
      <c r="K69" s="27" t="n">
        <v>5519.28</v>
      </c>
      <c r="L69" s="27" t="n">
        <v>0</v>
      </c>
    </row>
    <row r="70" customFormat="false" ht="15" hidden="false" customHeight="false" outlineLevel="0" collapsed="false">
      <c r="A70" s="25" t="s">
        <v>205</v>
      </c>
      <c r="B70" s="26" t="s">
        <v>355</v>
      </c>
      <c r="C70" s="25" t="s">
        <v>356</v>
      </c>
      <c r="D70" s="25" t="s">
        <v>357</v>
      </c>
      <c r="E70" s="27" t="n">
        <v>18519.3</v>
      </c>
      <c r="F70" s="27" t="n">
        <v>-19.27</v>
      </c>
      <c r="G70" s="27" t="n">
        <v>0</v>
      </c>
      <c r="H70" s="27" t="n">
        <v>18500.03</v>
      </c>
      <c r="I70" s="27" t="n">
        <v>1850</v>
      </c>
      <c r="J70" s="27" t="n">
        <v>1233.34</v>
      </c>
      <c r="K70" s="27" t="n">
        <v>1233.34</v>
      </c>
      <c r="L70" s="27" t="n">
        <v>0</v>
      </c>
    </row>
    <row r="71" customFormat="false" ht="15" hidden="false" customHeight="false" outlineLevel="0" collapsed="false">
      <c r="A71" s="25" t="s">
        <v>205</v>
      </c>
      <c r="B71" s="26" t="s">
        <v>358</v>
      </c>
      <c r="C71" s="25" t="s">
        <v>359</v>
      </c>
      <c r="D71" s="25" t="s">
        <v>360</v>
      </c>
      <c r="E71" s="27" t="n">
        <v>14989.09</v>
      </c>
      <c r="F71" s="27" t="n">
        <v>23.27</v>
      </c>
      <c r="G71" s="27" t="n">
        <v>0</v>
      </c>
      <c r="H71" s="27" t="n">
        <v>15012.36</v>
      </c>
      <c r="I71" s="27" t="n">
        <v>1501.24</v>
      </c>
      <c r="J71" s="27" t="n">
        <v>1501.24</v>
      </c>
      <c r="K71" s="27" t="n">
        <v>1501.24</v>
      </c>
      <c r="L71" s="27" t="n">
        <v>0</v>
      </c>
    </row>
    <row r="72" customFormat="false" ht="15" hidden="false" customHeight="false" outlineLevel="0" collapsed="false">
      <c r="A72" s="25" t="s">
        <v>205</v>
      </c>
      <c r="B72" s="26" t="s">
        <v>361</v>
      </c>
      <c r="C72" s="25" t="s">
        <v>362</v>
      </c>
      <c r="D72" s="25" t="s">
        <v>363</v>
      </c>
      <c r="E72" s="27" t="n">
        <v>11750</v>
      </c>
      <c r="F72" s="27" t="n">
        <v>-40.23</v>
      </c>
      <c r="G72" s="27" t="n">
        <v>0</v>
      </c>
      <c r="H72" s="27" t="n">
        <v>11709.77</v>
      </c>
      <c r="I72" s="27" t="n">
        <v>1170.98</v>
      </c>
      <c r="J72" s="27" t="n">
        <v>585.49</v>
      </c>
      <c r="K72" s="27" t="n">
        <v>585.49</v>
      </c>
      <c r="L72" s="27" t="n">
        <v>0</v>
      </c>
    </row>
    <row r="73" customFormat="false" ht="15" hidden="false" customHeight="false" outlineLevel="0" collapsed="false">
      <c r="A73" s="25" t="s">
        <v>205</v>
      </c>
      <c r="B73" s="26" t="s">
        <v>364</v>
      </c>
      <c r="C73" s="25" t="s">
        <v>365</v>
      </c>
      <c r="D73" s="25" t="s">
        <v>366</v>
      </c>
      <c r="E73" s="27" t="n">
        <v>27150</v>
      </c>
      <c r="F73" s="27" t="n">
        <v>188.36</v>
      </c>
      <c r="G73" s="27" t="n">
        <v>0</v>
      </c>
      <c r="H73" s="27" t="n">
        <v>27338.36</v>
      </c>
      <c r="I73" s="27" t="n">
        <v>2733.84</v>
      </c>
      <c r="J73" s="27" t="n">
        <v>1366.92</v>
      </c>
      <c r="K73" s="27" t="n">
        <v>1366.92</v>
      </c>
      <c r="L73" s="27" t="n">
        <v>0</v>
      </c>
    </row>
    <row r="74" customFormat="false" ht="15" hidden="false" customHeight="false" outlineLevel="0" collapsed="false">
      <c r="A74" s="25" t="s">
        <v>205</v>
      </c>
      <c r="B74" s="26" t="s">
        <v>367</v>
      </c>
      <c r="C74" s="25" t="s">
        <v>368</v>
      </c>
      <c r="D74" s="25" t="s">
        <v>369</v>
      </c>
      <c r="E74" s="27" t="n">
        <v>22616.36</v>
      </c>
      <c r="F74" s="27" t="n">
        <v>-265.09</v>
      </c>
      <c r="G74" s="27" t="n">
        <v>0</v>
      </c>
      <c r="H74" s="27" t="n">
        <v>22351.27</v>
      </c>
      <c r="I74" s="27" t="n">
        <v>2235.13</v>
      </c>
      <c r="J74" s="27" t="n">
        <v>1117.56</v>
      </c>
      <c r="K74" s="27" t="n">
        <v>1117.56</v>
      </c>
      <c r="L74" s="27" t="n">
        <v>0</v>
      </c>
    </row>
    <row r="75" customFormat="false" ht="15" hidden="false" customHeight="false" outlineLevel="0" collapsed="false">
      <c r="A75" s="25" t="s">
        <v>205</v>
      </c>
      <c r="B75" s="26" t="s">
        <v>370</v>
      </c>
      <c r="C75" s="25" t="s">
        <v>371</v>
      </c>
      <c r="D75" s="25" t="s">
        <v>369</v>
      </c>
      <c r="E75" s="27" t="n">
        <v>26706.37</v>
      </c>
      <c r="F75" s="27" t="n">
        <v>696.54</v>
      </c>
      <c r="G75" s="27" t="n">
        <v>0</v>
      </c>
      <c r="H75" s="27" t="n">
        <v>27402.91</v>
      </c>
      <c r="I75" s="27" t="n">
        <v>240.29</v>
      </c>
      <c r="J75" s="27" t="n">
        <v>-1129.86</v>
      </c>
      <c r="K75" s="27" t="n">
        <v>-1129.86</v>
      </c>
      <c r="L75" s="27" t="n">
        <v>0</v>
      </c>
    </row>
    <row r="76" customFormat="false" ht="15" hidden="false" customHeight="false" outlineLevel="0" collapsed="false">
      <c r="A76" s="25" t="s">
        <v>205</v>
      </c>
      <c r="B76" s="26" t="s">
        <v>88</v>
      </c>
      <c r="C76" s="25" t="s">
        <v>372</v>
      </c>
      <c r="D76" s="25" t="s">
        <v>373</v>
      </c>
      <c r="E76" s="27" t="n">
        <v>17830</v>
      </c>
      <c r="F76" s="27" t="n">
        <v>-224.55</v>
      </c>
      <c r="G76" s="27" t="n">
        <v>0</v>
      </c>
      <c r="H76" s="27" t="n">
        <v>17605.45</v>
      </c>
      <c r="I76" s="27" t="n">
        <v>1760.55</v>
      </c>
      <c r="J76" s="27" t="n">
        <v>880.27</v>
      </c>
      <c r="K76" s="27" t="n">
        <v>880.27</v>
      </c>
      <c r="L76" s="27" t="n">
        <v>0</v>
      </c>
    </row>
    <row r="77" customFormat="false" ht="15" hidden="false" customHeight="false" outlineLevel="0" collapsed="false">
      <c r="A77" s="25" t="s">
        <v>205</v>
      </c>
      <c r="B77" s="26" t="s">
        <v>374</v>
      </c>
      <c r="C77" s="25" t="s">
        <v>375</v>
      </c>
      <c r="D77" s="25" t="s">
        <v>373</v>
      </c>
      <c r="E77" s="27" t="n">
        <v>29349.09</v>
      </c>
      <c r="F77" s="27" t="n">
        <v>625.82</v>
      </c>
      <c r="G77" s="27" t="n">
        <v>-4915.76</v>
      </c>
      <c r="H77" s="27" t="n">
        <v>25059.15</v>
      </c>
      <c r="I77" s="27" t="n">
        <v>2505.92</v>
      </c>
      <c r="J77" s="27" t="n">
        <v>715.98</v>
      </c>
      <c r="K77" s="27" t="n">
        <v>715.98</v>
      </c>
      <c r="L77" s="27" t="n">
        <v>0</v>
      </c>
    </row>
    <row r="78" customFormat="false" ht="15" hidden="false" customHeight="false" outlineLevel="0" collapsed="false">
      <c r="A78" s="25" t="s">
        <v>205</v>
      </c>
      <c r="B78" s="26" t="s">
        <v>376</v>
      </c>
      <c r="C78" s="25" t="s">
        <v>377</v>
      </c>
      <c r="D78" s="25" t="s">
        <v>378</v>
      </c>
      <c r="E78" s="27" t="n">
        <v>24280.9</v>
      </c>
      <c r="F78" s="27" t="n">
        <v>335.73</v>
      </c>
      <c r="G78" s="27" t="n">
        <v>0</v>
      </c>
      <c r="H78" s="27" t="n">
        <v>24616.63</v>
      </c>
      <c r="I78" s="27" t="n">
        <v>2461.66</v>
      </c>
      <c r="J78" s="27" t="n">
        <v>703.34</v>
      </c>
      <c r="K78" s="27" t="n">
        <v>703.34</v>
      </c>
      <c r="L78" s="27" t="n">
        <v>0</v>
      </c>
    </row>
    <row r="79" customFormat="false" ht="15" hidden="false" customHeight="false" outlineLevel="0" collapsed="false">
      <c r="A79" s="25" t="s">
        <v>205</v>
      </c>
      <c r="B79" s="26" t="s">
        <v>379</v>
      </c>
      <c r="C79" s="25" t="s">
        <v>380</v>
      </c>
      <c r="D79" s="25" t="s">
        <v>381</v>
      </c>
      <c r="E79" s="27" t="n">
        <v>24920.36</v>
      </c>
      <c r="F79" s="27" t="n">
        <v>363.36</v>
      </c>
      <c r="G79" s="27" t="n">
        <v>-5088.48</v>
      </c>
      <c r="H79" s="27" t="n">
        <v>20195.24</v>
      </c>
      <c r="I79" s="27" t="n">
        <v>2019.52</v>
      </c>
      <c r="J79" s="27" t="n">
        <v>1009.76</v>
      </c>
      <c r="K79" s="27" t="n">
        <v>1009.76</v>
      </c>
      <c r="L79" s="27" t="n">
        <v>0</v>
      </c>
    </row>
    <row r="80" customFormat="false" ht="15" hidden="false" customHeight="false" outlineLevel="0" collapsed="false">
      <c r="A80" s="25" t="s">
        <v>205</v>
      </c>
      <c r="B80" s="26" t="s">
        <v>382</v>
      </c>
      <c r="C80" s="25" t="s">
        <v>383</v>
      </c>
      <c r="D80" s="25" t="s">
        <v>384</v>
      </c>
      <c r="E80" s="27" t="n">
        <v>25739.09</v>
      </c>
      <c r="F80" s="27" t="n">
        <v>71.55</v>
      </c>
      <c r="G80" s="27" t="n">
        <v>-3741</v>
      </c>
      <c r="H80" s="27" t="n">
        <v>22069.64</v>
      </c>
      <c r="I80" s="27" t="n">
        <v>2206.96</v>
      </c>
      <c r="J80" s="27" t="n">
        <v>2206.96</v>
      </c>
      <c r="K80" s="27" t="n">
        <v>2206.96</v>
      </c>
      <c r="L80" s="27" t="n">
        <v>0</v>
      </c>
    </row>
    <row r="81" customFormat="false" ht="15" hidden="false" customHeight="false" outlineLevel="0" collapsed="false">
      <c r="A81" s="25" t="s">
        <v>205</v>
      </c>
      <c r="B81" s="26" t="s">
        <v>385</v>
      </c>
      <c r="C81" s="25" t="s">
        <v>386</v>
      </c>
      <c r="D81" s="25" t="s">
        <v>387</v>
      </c>
      <c r="E81" s="27" t="n">
        <v>26020.91</v>
      </c>
      <c r="F81" s="27" t="n">
        <v>-93.64</v>
      </c>
      <c r="G81" s="27" t="n">
        <v>-3960.3</v>
      </c>
      <c r="H81" s="27" t="n">
        <v>21966.97</v>
      </c>
      <c r="I81" s="27" t="n">
        <v>2196.7</v>
      </c>
      <c r="J81" s="27" t="n">
        <v>1647.51</v>
      </c>
      <c r="K81" s="27" t="n">
        <v>1647.51</v>
      </c>
      <c r="L81" s="27" t="n">
        <v>0</v>
      </c>
    </row>
    <row r="82" customFormat="false" ht="15" hidden="false" customHeight="false" outlineLevel="0" collapsed="false">
      <c r="A82" s="7"/>
      <c r="B82" s="7"/>
      <c r="C82" s="7" t="s">
        <v>120</v>
      </c>
      <c r="D82" s="7"/>
      <c r="E82" s="8" t="n">
        <f aca="false">SUM(E7:E81)</f>
        <v>1748724.46</v>
      </c>
      <c r="F82" s="8" t="n">
        <f aca="false">SUM(F7:F81)</f>
        <v>-10023.87</v>
      </c>
      <c r="G82" s="8" t="n">
        <f aca="false">SUM(G7:G81)</f>
        <v>-110608.85</v>
      </c>
      <c r="H82" s="8" t="n">
        <f aca="false">SUM(H7:H81)</f>
        <v>1628091.74</v>
      </c>
      <c r="I82" s="8" t="n">
        <f aca="false">SUM(I7:I81)</f>
        <v>157452.59</v>
      </c>
      <c r="J82" s="8" t="n">
        <f aca="false">SUM(J7:J81)</f>
        <v>90570.52</v>
      </c>
      <c r="K82" s="8" t="n">
        <f aca="false">SUM(K7:K81)</f>
        <v>90570.52</v>
      </c>
      <c r="L82" s="8" t="n">
        <f aca="false">SUM(L7:L81)</f>
        <v>0</v>
      </c>
    </row>
    <row r="84" customFormat="false" ht="15" hidden="false" customHeight="false" outlineLevel="0" collapsed="false">
      <c r="A84" s="28" t="s">
        <v>388</v>
      </c>
    </row>
    <row r="85" customFormat="false" ht="15" hidden="false" customHeight="false" outlineLevel="0" collapsed="false">
      <c r="A85" s="25"/>
      <c r="B85" s="26" t="s">
        <v>337</v>
      </c>
      <c r="C85" s="25" t="s">
        <v>389</v>
      </c>
      <c r="D85" s="25" t="s">
        <v>20</v>
      </c>
      <c r="E85" s="25" t="s">
        <v>390</v>
      </c>
      <c r="F85" s="25"/>
      <c r="G85" s="25"/>
      <c r="H85" s="25"/>
      <c r="I85" s="25"/>
      <c r="J85" s="25"/>
      <c r="K85" s="25"/>
      <c r="L85" s="25"/>
    </row>
    <row r="86" customFormat="false" ht="15" hidden="false" customHeight="false" outlineLevel="0" collapsed="false">
      <c r="A86" s="25"/>
      <c r="B86" s="26" t="s">
        <v>391</v>
      </c>
      <c r="C86" s="25" t="s">
        <v>392</v>
      </c>
      <c r="D86" s="25" t="s">
        <v>20</v>
      </c>
      <c r="E86" s="25" t="s">
        <v>393</v>
      </c>
      <c r="F86" s="25"/>
      <c r="G86" s="25"/>
      <c r="H86" s="25"/>
      <c r="I86" s="25"/>
      <c r="J86" s="25"/>
      <c r="K86" s="25"/>
      <c r="L86" s="25"/>
    </row>
    <row r="87" customFormat="false" ht="15" hidden="false" customHeight="false" outlineLevel="0" collapsed="false">
      <c r="A87" s="25"/>
      <c r="B87" s="26" t="s">
        <v>394</v>
      </c>
      <c r="C87" s="25" t="s">
        <v>395</v>
      </c>
      <c r="D87" s="25" t="s">
        <v>20</v>
      </c>
      <c r="E87" s="25" t="s">
        <v>396</v>
      </c>
      <c r="F87" s="25"/>
      <c r="G87" s="25"/>
      <c r="H87" s="25"/>
      <c r="I87" s="25"/>
      <c r="J87" s="25"/>
      <c r="K87" s="25"/>
      <c r="L87" s="25"/>
    </row>
    <row r="88" customFormat="false" ht="15" hidden="false" customHeight="false" outlineLevel="0" collapsed="false">
      <c r="A88" s="25"/>
      <c r="B88" s="26" t="s">
        <v>397</v>
      </c>
      <c r="C88" s="25" t="s">
        <v>398</v>
      </c>
      <c r="D88" s="25" t="s">
        <v>20</v>
      </c>
      <c r="E88" s="25" t="s">
        <v>399</v>
      </c>
      <c r="F88" s="25"/>
      <c r="G88" s="25"/>
      <c r="H88" s="25"/>
      <c r="I88" s="25"/>
      <c r="J88" s="25"/>
      <c r="K88" s="25"/>
      <c r="L88" s="25"/>
    </row>
    <row r="89" customFormat="false" ht="15" hidden="false" customHeight="false" outlineLevel="0" collapsed="false">
      <c r="A89" s="25"/>
      <c r="B89" s="26" t="s">
        <v>400</v>
      </c>
      <c r="C89" s="25" t="s">
        <v>401</v>
      </c>
      <c r="D89" s="25" t="s">
        <v>20</v>
      </c>
      <c r="E89" s="25" t="s">
        <v>399</v>
      </c>
      <c r="F89" s="25"/>
      <c r="G89" s="25"/>
      <c r="H89" s="25"/>
      <c r="I89" s="25"/>
      <c r="J89" s="25"/>
      <c r="K89" s="25"/>
      <c r="L89" s="25"/>
    </row>
  </sheetData>
  <mergeCells count="9">
    <mergeCell ref="A1:L1"/>
    <mergeCell ref="A2:L2"/>
    <mergeCell ref="A3:K3"/>
    <mergeCell ref="A4:L4"/>
    <mergeCell ref="E85:L85"/>
    <mergeCell ref="E86:L86"/>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402</v>
      </c>
      <c r="B1" s="1"/>
      <c r="C1" s="1"/>
      <c r="D1" s="1"/>
      <c r="E1" s="1"/>
      <c r="F1" s="1"/>
      <c r="G1" s="1"/>
      <c r="H1" s="1"/>
      <c r="I1" s="1"/>
    </row>
    <row r="2" customFormat="false" ht="15" hidden="false" customHeight="false" outlineLevel="0" collapsed="false">
      <c r="A2" s="2" t="s">
        <v>403</v>
      </c>
      <c r="B2" s="2"/>
      <c r="C2" s="2"/>
      <c r="D2" s="2"/>
      <c r="E2" s="2"/>
      <c r="F2" s="2"/>
      <c r="G2" s="2"/>
      <c r="H2" s="2"/>
      <c r="I2" s="2"/>
    </row>
    <row r="3" customFormat="false" ht="15" hidden="false" customHeight="false" outlineLevel="0" collapsed="false">
      <c r="A3" s="24" t="s">
        <v>404</v>
      </c>
      <c r="B3" s="24"/>
      <c r="C3" s="24"/>
      <c r="D3" s="24"/>
      <c r="E3" s="24"/>
      <c r="F3" s="24"/>
      <c r="G3" s="24"/>
      <c r="H3" s="24"/>
      <c r="I3" s="24"/>
    </row>
    <row r="5" customFormat="false" ht="30" hidden="false" customHeight="true" outlineLevel="0" collapsed="false">
      <c r="A5" s="3" t="s">
        <v>25</v>
      </c>
      <c r="B5" s="3" t="s">
        <v>26</v>
      </c>
      <c r="C5" s="3" t="s">
        <v>175</v>
      </c>
      <c r="D5" s="3" t="s">
        <v>28</v>
      </c>
      <c r="E5" s="3" t="s">
        <v>29</v>
      </c>
      <c r="F5" s="3" t="s">
        <v>3</v>
      </c>
      <c r="G5" s="3" t="s">
        <v>31</v>
      </c>
      <c r="H5" s="3" t="s">
        <v>179</v>
      </c>
      <c r="I5" s="3" t="s">
        <v>405</v>
      </c>
      <c r="J5" s="3" t="s">
        <v>406</v>
      </c>
      <c r="K5" s="3" t="s">
        <v>407</v>
      </c>
      <c r="L5" s="3" t="s">
        <v>408</v>
      </c>
      <c r="M5" s="3" t="s">
        <v>409</v>
      </c>
      <c r="N5" s="3" t="s">
        <v>410</v>
      </c>
      <c r="O5" s="3" t="s">
        <v>411</v>
      </c>
    </row>
    <row r="6" customFormat="false" ht="15" hidden="false" customHeight="false" outlineLevel="0" collapsed="false">
      <c r="A6" s="15" t="s">
        <v>202</v>
      </c>
      <c r="B6" s="4" t="s">
        <v>203</v>
      </c>
      <c r="C6" s="4" t="s">
        <v>204</v>
      </c>
      <c r="D6" s="4" t="s">
        <v>20</v>
      </c>
      <c r="E6" s="4" t="s">
        <v>12</v>
      </c>
      <c r="F6" s="4" t="s">
        <v>42</v>
      </c>
      <c r="G6" s="6" t="n">
        <v>14988</v>
      </c>
      <c r="H6" s="6" t="n">
        <v>18157.5</v>
      </c>
      <c r="I6" s="6" t="n">
        <v>311.14</v>
      </c>
      <c r="J6" s="6" t="n">
        <v>0</v>
      </c>
      <c r="K6" s="6" t="n">
        <v>1815.75</v>
      </c>
      <c r="L6" s="6" t="n">
        <v>453.2</v>
      </c>
      <c r="M6" s="6" t="n">
        <v>907.88</v>
      </c>
      <c r="N6" s="29" t="s">
        <v>412</v>
      </c>
      <c r="O6" s="4"/>
    </row>
    <row r="7" customFormat="false" ht="15" hidden="false" customHeight="false" outlineLevel="0" collapsed="false">
      <c r="A7" s="15" t="s">
        <v>200</v>
      </c>
      <c r="B7" s="4" t="s">
        <v>201</v>
      </c>
      <c r="C7" s="4" t="s">
        <v>158</v>
      </c>
      <c r="D7" s="4" t="s">
        <v>413</v>
      </c>
      <c r="E7" s="4" t="s">
        <v>12</v>
      </c>
      <c r="F7" s="4" t="s">
        <v>48</v>
      </c>
      <c r="G7" s="6" t="n">
        <v>5447</v>
      </c>
      <c r="H7" s="6" t="n">
        <v>6215.91</v>
      </c>
      <c r="I7" s="6" t="n">
        <v>144.09</v>
      </c>
      <c r="J7" s="6" t="n">
        <v>0</v>
      </c>
      <c r="K7" s="6" t="n">
        <v>621.59</v>
      </c>
      <c r="L7" s="6" t="n">
        <v>126.41</v>
      </c>
      <c r="M7" s="6" t="n">
        <v>621.6</v>
      </c>
      <c r="N7" s="29" t="s">
        <v>412</v>
      </c>
      <c r="O7" s="4"/>
    </row>
    <row r="8" customFormat="false" ht="15" hidden="false" customHeight="false" outlineLevel="0" collapsed="false">
      <c r="A8" s="15" t="s">
        <v>197</v>
      </c>
      <c r="B8" s="4" t="s">
        <v>198</v>
      </c>
      <c r="C8" s="4" t="s">
        <v>199</v>
      </c>
      <c r="D8" s="4" t="s">
        <v>414</v>
      </c>
      <c r="E8" s="4" t="s">
        <v>414</v>
      </c>
      <c r="F8" s="4" t="s">
        <v>48</v>
      </c>
      <c r="G8" s="6" t="n">
        <v>35355</v>
      </c>
      <c r="H8" s="6" t="n">
        <v>26703.24</v>
      </c>
      <c r="I8" s="6" t="n">
        <v>-355.5</v>
      </c>
      <c r="J8" s="6" t="n">
        <v>-5082.17</v>
      </c>
      <c r="K8" s="6" t="n">
        <v>2670.32</v>
      </c>
      <c r="L8" s="6" t="n">
        <v>-543.77</v>
      </c>
      <c r="M8" s="6" t="n">
        <v>2670.3</v>
      </c>
      <c r="N8" s="29" t="s">
        <v>412</v>
      </c>
      <c r="O8" s="4"/>
    </row>
    <row r="9" customFormat="false" ht="15" hidden="false" customHeight="false" outlineLevel="0" collapsed="false">
      <c r="A9" s="15" t="s">
        <v>192</v>
      </c>
      <c r="B9" s="4" t="s">
        <v>193</v>
      </c>
      <c r="C9" s="4" t="s">
        <v>194</v>
      </c>
      <c r="D9" s="4" t="s">
        <v>16</v>
      </c>
      <c r="E9" s="4" t="s">
        <v>14</v>
      </c>
      <c r="F9" s="4" t="s">
        <v>42</v>
      </c>
      <c r="G9" s="6" t="n">
        <v>19737</v>
      </c>
      <c r="H9" s="6" t="n">
        <v>18075.73</v>
      </c>
      <c r="I9" s="6" t="n">
        <v>133</v>
      </c>
      <c r="J9" s="6" t="n">
        <v>0</v>
      </c>
      <c r="K9" s="6" t="n">
        <v>1807.57</v>
      </c>
      <c r="L9" s="6" t="n">
        <v>13.3</v>
      </c>
      <c r="M9" s="6" t="n">
        <v>1807.56</v>
      </c>
      <c r="N9" s="29" t="s">
        <v>412</v>
      </c>
      <c r="O9" s="4"/>
    </row>
    <row r="10" customFormat="false" ht="15" hidden="false" customHeight="false" outlineLevel="0" collapsed="false">
      <c r="A10" s="15" t="s">
        <v>195</v>
      </c>
      <c r="B10" s="4" t="s">
        <v>196</v>
      </c>
      <c r="C10" s="4" t="s">
        <v>194</v>
      </c>
      <c r="D10" s="4" t="s">
        <v>415</v>
      </c>
      <c r="E10" s="4" t="s">
        <v>416</v>
      </c>
      <c r="F10" s="4" t="s">
        <v>48</v>
      </c>
      <c r="G10" s="6" t="n">
        <v>67927</v>
      </c>
      <c r="H10" s="6" t="n">
        <v>62379.46</v>
      </c>
      <c r="I10" s="6" t="n">
        <v>627.64</v>
      </c>
      <c r="J10" s="6" t="n">
        <v>0</v>
      </c>
      <c r="K10" s="6" t="n">
        <v>6237.95</v>
      </c>
      <c r="L10" s="6" t="n">
        <v>62.77</v>
      </c>
      <c r="M10" s="6" t="n">
        <v>6237.99</v>
      </c>
      <c r="N10" s="29" t="s">
        <v>412</v>
      </c>
      <c r="O10" s="4"/>
    </row>
    <row r="11" customFormat="false" ht="15" hidden="false" customHeight="false" outlineLevel="0" collapsed="false">
      <c r="A11" s="15" t="s">
        <v>188</v>
      </c>
      <c r="B11" s="4" t="s">
        <v>189</v>
      </c>
      <c r="C11" s="4" t="s">
        <v>164</v>
      </c>
      <c r="D11" s="4" t="s">
        <v>417</v>
      </c>
      <c r="E11" s="4" t="s">
        <v>417</v>
      </c>
      <c r="F11" s="4" t="s">
        <v>48</v>
      </c>
      <c r="G11" s="6" t="n">
        <v>19737</v>
      </c>
      <c r="H11" s="6" t="n">
        <v>18104.55</v>
      </c>
      <c r="I11" s="6" t="n">
        <v>161.82</v>
      </c>
      <c r="J11" s="6" t="n">
        <v>0</v>
      </c>
      <c r="K11" s="6" t="n">
        <v>1810.46</v>
      </c>
      <c r="L11" s="6" t="n">
        <v>16.19</v>
      </c>
      <c r="M11" s="6" t="n">
        <v>1810.45</v>
      </c>
      <c r="N11" s="29" t="s">
        <v>412</v>
      </c>
      <c r="O11" s="4"/>
    </row>
    <row r="12" customFormat="false" ht="15" hidden="false" customHeight="false" outlineLevel="0" collapsed="false">
      <c r="A12" s="15" t="s">
        <v>190</v>
      </c>
      <c r="B12" s="4" t="s">
        <v>191</v>
      </c>
      <c r="C12" s="4" t="s">
        <v>164</v>
      </c>
      <c r="D12" s="4" t="s">
        <v>418</v>
      </c>
      <c r="E12" s="4" t="s">
        <v>419</v>
      </c>
      <c r="F12" s="4" t="s">
        <v>48</v>
      </c>
      <c r="G12" s="6" t="n">
        <v>23763</v>
      </c>
      <c r="H12" s="6" t="n">
        <v>22046.66</v>
      </c>
      <c r="I12" s="6" t="n">
        <v>613.45</v>
      </c>
      <c r="J12" s="6" t="n">
        <v>-4240.43</v>
      </c>
      <c r="K12" s="6" t="n">
        <v>2204.67</v>
      </c>
      <c r="L12" s="6" t="n">
        <v>44.4</v>
      </c>
      <c r="M12" s="6" t="n">
        <v>2204.65</v>
      </c>
      <c r="N12" s="29" t="s">
        <v>412</v>
      </c>
      <c r="O12" s="4"/>
    </row>
    <row r="13" customFormat="false" ht="15" hidden="false" customHeight="false" outlineLevel="0" collapsed="false">
      <c r="A13" s="15" t="s">
        <v>184</v>
      </c>
      <c r="B13" s="4" t="s">
        <v>185</v>
      </c>
      <c r="C13" s="4" t="s">
        <v>165</v>
      </c>
      <c r="D13" s="4" t="s">
        <v>420</v>
      </c>
      <c r="E13" s="4" t="s">
        <v>421</v>
      </c>
      <c r="F13" s="4" t="s">
        <v>48</v>
      </c>
      <c r="G13" s="6" t="n">
        <v>7032</v>
      </c>
      <c r="H13" s="6" t="n">
        <v>6460.36</v>
      </c>
      <c r="I13" s="6" t="n">
        <v>-416</v>
      </c>
      <c r="J13" s="6" t="n">
        <v>0</v>
      </c>
      <c r="K13" s="6" t="n">
        <v>646.04</v>
      </c>
      <c r="L13" s="6" t="n">
        <v>6.77</v>
      </c>
      <c r="M13" s="6" t="n">
        <v>646.03</v>
      </c>
      <c r="N13" s="29" t="s">
        <v>412</v>
      </c>
      <c r="O13" s="4"/>
    </row>
    <row r="14" customFormat="false" ht="15" hidden="false" customHeight="false" outlineLevel="0" collapsed="false">
      <c r="A14" s="15" t="s">
        <v>186</v>
      </c>
      <c r="B14" s="4" t="s">
        <v>187</v>
      </c>
      <c r="C14" s="4" t="s">
        <v>165</v>
      </c>
      <c r="D14" s="4" t="s">
        <v>422</v>
      </c>
      <c r="E14" s="4" t="s">
        <v>417</v>
      </c>
      <c r="F14" s="4" t="s">
        <v>48</v>
      </c>
      <c r="G14" s="6" t="n">
        <v>28945</v>
      </c>
      <c r="H14" s="6" t="n">
        <v>26685.4</v>
      </c>
      <c r="I14" s="6" t="n">
        <v>525.09</v>
      </c>
      <c r="J14" s="6" t="n">
        <v>-4923.33</v>
      </c>
      <c r="K14" s="6" t="n">
        <v>2668.54</v>
      </c>
      <c r="L14" s="6" t="n">
        <v>37.18</v>
      </c>
      <c r="M14" s="6" t="n">
        <v>2668.55</v>
      </c>
      <c r="N14" s="29" t="s">
        <v>412</v>
      </c>
      <c r="O14" s="4"/>
    </row>
    <row r="15" customFormat="false" ht="15" hidden="false" customHeight="false" outlineLevel="0" collapsed="false">
      <c r="A15" s="15" t="s">
        <v>385</v>
      </c>
      <c r="B15" s="4" t="s">
        <v>386</v>
      </c>
      <c r="C15" s="4" t="s">
        <v>387</v>
      </c>
      <c r="D15" s="4" t="s">
        <v>423</v>
      </c>
      <c r="E15" s="4" t="s">
        <v>41</v>
      </c>
      <c r="F15" s="4" t="s">
        <v>48</v>
      </c>
      <c r="G15" s="6" t="n">
        <v>28992</v>
      </c>
      <c r="H15" s="6" t="n">
        <v>21966.97</v>
      </c>
      <c r="I15" s="6" t="n">
        <v>-93.64</v>
      </c>
      <c r="J15" s="6" t="n">
        <v>-3960.3</v>
      </c>
      <c r="K15" s="6" t="n">
        <v>2196.7</v>
      </c>
      <c r="L15" s="6" t="n">
        <v>-438.94</v>
      </c>
      <c r="M15" s="6" t="n">
        <v>2196.68</v>
      </c>
      <c r="N15" s="30" t="s">
        <v>424</v>
      </c>
      <c r="O15" s="4"/>
    </row>
    <row r="16" customFormat="false" ht="15" hidden="false" customHeight="false" outlineLevel="0" collapsed="false">
      <c r="A16" s="15" t="s">
        <v>382</v>
      </c>
      <c r="B16" s="4" t="s">
        <v>383</v>
      </c>
      <c r="C16" s="4" t="s">
        <v>384</v>
      </c>
      <c r="D16" s="4" t="s">
        <v>16</v>
      </c>
      <c r="E16" s="4" t="s">
        <v>15</v>
      </c>
      <c r="F16" s="4" t="s">
        <v>42</v>
      </c>
      <c r="G16" s="6" t="n">
        <v>37273.2</v>
      </c>
      <c r="H16" s="6" t="n">
        <v>22069.64</v>
      </c>
      <c r="I16" s="6" t="n">
        <v>71.55</v>
      </c>
      <c r="J16" s="6" t="n">
        <v>-3741</v>
      </c>
      <c r="K16" s="6" t="n">
        <v>2206.96</v>
      </c>
      <c r="L16" s="6" t="n">
        <v>-1181.51</v>
      </c>
      <c r="M16" s="6" t="n">
        <v>2206.96</v>
      </c>
      <c r="N16" s="30" t="s">
        <v>424</v>
      </c>
      <c r="O16" s="4"/>
    </row>
    <row r="17" customFormat="false" ht="15" hidden="false" customHeight="false" outlineLevel="0" collapsed="false">
      <c r="A17" s="15" t="s">
        <v>379</v>
      </c>
      <c r="B17" s="4" t="s">
        <v>380</v>
      </c>
      <c r="C17" s="4" t="s">
        <v>381</v>
      </c>
      <c r="D17" s="4" t="s">
        <v>16</v>
      </c>
      <c r="E17" s="4" t="s">
        <v>425</v>
      </c>
      <c r="F17" s="4" t="s">
        <v>42</v>
      </c>
      <c r="G17" s="6" t="n">
        <v>29100</v>
      </c>
      <c r="H17" s="6" t="n">
        <v>20195.24</v>
      </c>
      <c r="I17" s="6" t="n">
        <v>363.36</v>
      </c>
      <c r="J17" s="6" t="n">
        <v>-5088.48</v>
      </c>
      <c r="K17" s="6" t="n">
        <v>2019.52</v>
      </c>
      <c r="L17" s="6" t="n">
        <v>-625.93</v>
      </c>
      <c r="M17" s="6" t="n">
        <v>2019.52</v>
      </c>
      <c r="N17" s="30" t="s">
        <v>424</v>
      </c>
      <c r="O17" s="4"/>
    </row>
    <row r="18" customFormat="false" ht="15" hidden="false" customHeight="false" outlineLevel="0" collapsed="false">
      <c r="A18" s="15" t="s">
        <v>376</v>
      </c>
      <c r="B18" s="4" t="s">
        <v>377</v>
      </c>
      <c r="C18" s="4" t="s">
        <v>378</v>
      </c>
      <c r="D18" s="4" t="s">
        <v>426</v>
      </c>
      <c r="E18" s="4" t="s">
        <v>421</v>
      </c>
      <c r="F18" s="4" t="s">
        <v>48</v>
      </c>
      <c r="G18" s="6" t="n">
        <v>26747</v>
      </c>
      <c r="H18" s="6" t="n">
        <v>24616.63</v>
      </c>
      <c r="I18" s="6" t="n">
        <v>335.73</v>
      </c>
      <c r="J18" s="6" t="n">
        <v>0</v>
      </c>
      <c r="K18" s="6" t="n">
        <v>2461.66</v>
      </c>
      <c r="L18" s="6" t="n">
        <v>30.11</v>
      </c>
      <c r="M18" s="6" t="n">
        <v>2461.69</v>
      </c>
      <c r="N18" s="30" t="s">
        <v>424</v>
      </c>
      <c r="O18" s="4"/>
    </row>
    <row r="19" customFormat="false" ht="15" hidden="false" customHeight="false" outlineLevel="0" collapsed="false">
      <c r="A19" s="15" t="s">
        <v>88</v>
      </c>
      <c r="B19" s="4" t="s">
        <v>372</v>
      </c>
      <c r="C19" s="4" t="s">
        <v>373</v>
      </c>
      <c r="D19" s="4" t="s">
        <v>427</v>
      </c>
      <c r="E19" s="4" t="s">
        <v>12</v>
      </c>
      <c r="F19" s="4" t="s">
        <v>42</v>
      </c>
      <c r="G19" s="6" t="n">
        <v>17113</v>
      </c>
      <c r="H19" s="6" t="n">
        <v>17605.45</v>
      </c>
      <c r="I19" s="6" t="n">
        <v>-224.55</v>
      </c>
      <c r="J19" s="6" t="n">
        <v>0</v>
      </c>
      <c r="K19" s="6" t="n">
        <v>1760.55</v>
      </c>
      <c r="L19" s="6" t="n">
        <v>204.82</v>
      </c>
      <c r="M19" s="6" t="n">
        <v>1760.54</v>
      </c>
      <c r="N19" s="30" t="s">
        <v>424</v>
      </c>
      <c r="O19" s="4"/>
    </row>
    <row r="20" customFormat="false" ht="15" hidden="false" customHeight="false" outlineLevel="0" collapsed="false">
      <c r="A20" s="15" t="s">
        <v>374</v>
      </c>
      <c r="B20" s="4" t="s">
        <v>375</v>
      </c>
      <c r="C20" s="4" t="s">
        <v>373</v>
      </c>
      <c r="D20" s="4" t="s">
        <v>428</v>
      </c>
      <c r="E20" s="4" t="s">
        <v>429</v>
      </c>
      <c r="F20" s="4" t="s">
        <v>48</v>
      </c>
      <c r="G20" s="6" t="n">
        <v>27325</v>
      </c>
      <c r="H20" s="6" t="n">
        <v>25059.15</v>
      </c>
      <c r="I20" s="6" t="n">
        <v>625.82</v>
      </c>
      <c r="J20" s="6" t="n">
        <v>-4915.76</v>
      </c>
      <c r="K20" s="6" t="n">
        <v>2505.92</v>
      </c>
      <c r="L20" s="6" t="n">
        <v>21.83</v>
      </c>
      <c r="M20" s="6" t="n">
        <v>2505.93</v>
      </c>
      <c r="N20" s="30" t="s">
        <v>424</v>
      </c>
      <c r="O20" s="4"/>
    </row>
    <row r="21" customFormat="false" ht="15" hidden="false" customHeight="false" outlineLevel="0" collapsed="false">
      <c r="A21" s="15" t="s">
        <v>367</v>
      </c>
      <c r="B21" s="4" t="s">
        <v>368</v>
      </c>
      <c r="C21" s="4" t="s">
        <v>369</v>
      </c>
      <c r="D21" s="4" t="s">
        <v>430</v>
      </c>
      <c r="E21" s="4" t="s">
        <v>431</v>
      </c>
      <c r="F21" s="4" t="s">
        <v>48</v>
      </c>
      <c r="G21" s="6" t="n">
        <v>24878</v>
      </c>
      <c r="H21" s="6" t="n">
        <v>22351.27</v>
      </c>
      <c r="I21" s="6" t="n">
        <v>-265.09</v>
      </c>
      <c r="J21" s="6" t="n">
        <v>0</v>
      </c>
      <c r="K21" s="6" t="n">
        <v>2235.13</v>
      </c>
      <c r="L21" s="6" t="n">
        <v>-26.51</v>
      </c>
      <c r="M21" s="6" t="n">
        <v>2235.12</v>
      </c>
      <c r="N21" s="30" t="s">
        <v>424</v>
      </c>
      <c r="O21" s="4"/>
    </row>
    <row r="22" customFormat="false" ht="15" hidden="false" customHeight="false" outlineLevel="0" collapsed="false">
      <c r="A22" s="11" t="s">
        <v>370</v>
      </c>
      <c r="B22" s="12" t="s">
        <v>371</v>
      </c>
      <c r="C22" s="12" t="s">
        <v>369</v>
      </c>
      <c r="D22" s="12" t="s">
        <v>432</v>
      </c>
      <c r="E22" s="12" t="s">
        <v>12</v>
      </c>
      <c r="F22" s="12" t="s">
        <v>42</v>
      </c>
      <c r="G22" s="31" t="n">
        <v>29377</v>
      </c>
      <c r="H22" s="31" t="n">
        <v>27402.91</v>
      </c>
      <c r="I22" s="31" t="n">
        <v>696.54</v>
      </c>
      <c r="J22" s="31" t="n">
        <v>0</v>
      </c>
      <c r="K22" s="31" t="n">
        <v>240.29</v>
      </c>
      <c r="L22" s="31" t="n">
        <v>-2430.35</v>
      </c>
      <c r="M22" s="31" t="n">
        <v>240.28</v>
      </c>
      <c r="N22" s="32" t="s">
        <v>424</v>
      </c>
      <c r="O22" s="12" t="s">
        <v>433</v>
      </c>
    </row>
    <row r="23" customFormat="false" ht="15" hidden="false" customHeight="false" outlineLevel="0" collapsed="false">
      <c r="A23" s="15" t="s">
        <v>364</v>
      </c>
      <c r="B23" s="4" t="s">
        <v>365</v>
      </c>
      <c r="C23" s="4" t="s">
        <v>366</v>
      </c>
      <c r="D23" s="4" t="s">
        <v>425</v>
      </c>
      <c r="E23" s="4" t="s">
        <v>12</v>
      </c>
      <c r="F23" s="4" t="s">
        <v>42</v>
      </c>
      <c r="G23" s="6" t="n">
        <v>23615</v>
      </c>
      <c r="H23" s="6" t="n">
        <v>27338.36</v>
      </c>
      <c r="I23" s="6" t="n">
        <v>188.36</v>
      </c>
      <c r="J23" s="6" t="n">
        <v>0</v>
      </c>
      <c r="K23" s="6" t="n">
        <v>2733.84</v>
      </c>
      <c r="L23" s="6" t="n">
        <v>587.02</v>
      </c>
      <c r="M23" s="6" t="n">
        <v>2733.84</v>
      </c>
      <c r="N23" s="30" t="s">
        <v>424</v>
      </c>
      <c r="O23" s="4"/>
    </row>
    <row r="24" customFormat="false" ht="15" hidden="false" customHeight="false" outlineLevel="0" collapsed="false">
      <c r="A24" s="15" t="s">
        <v>361</v>
      </c>
      <c r="B24" s="4" t="s">
        <v>362</v>
      </c>
      <c r="C24" s="4" t="s">
        <v>363</v>
      </c>
      <c r="D24" s="4" t="s">
        <v>432</v>
      </c>
      <c r="E24" s="4" t="s">
        <v>15</v>
      </c>
      <c r="F24" s="4" t="s">
        <v>42</v>
      </c>
      <c r="G24" s="6" t="n">
        <v>12925</v>
      </c>
      <c r="H24" s="6" t="n">
        <v>11709.77</v>
      </c>
      <c r="I24" s="6" t="n">
        <v>-40.23</v>
      </c>
      <c r="J24" s="6" t="n">
        <v>0</v>
      </c>
      <c r="K24" s="6" t="n">
        <v>1170.98</v>
      </c>
      <c r="L24" s="6" t="n">
        <v>-4.02</v>
      </c>
      <c r="M24" s="6" t="n">
        <v>1170.98</v>
      </c>
      <c r="N24" s="30" t="s">
        <v>424</v>
      </c>
      <c r="O24" s="4"/>
    </row>
    <row r="25" customFormat="false" ht="15" hidden="false" customHeight="false" outlineLevel="0" collapsed="false">
      <c r="A25" s="15" t="s">
        <v>358</v>
      </c>
      <c r="B25" s="4" t="s">
        <v>359</v>
      </c>
      <c r="C25" s="4" t="s">
        <v>360</v>
      </c>
      <c r="D25" s="4" t="s">
        <v>14</v>
      </c>
      <c r="E25" s="4" t="s">
        <v>12</v>
      </c>
      <c r="F25" s="4" t="s">
        <v>42</v>
      </c>
      <c r="G25" s="6" t="n">
        <v>16488</v>
      </c>
      <c r="H25" s="6" t="n">
        <v>15012.36</v>
      </c>
      <c r="I25" s="6" t="n">
        <v>23.27</v>
      </c>
      <c r="J25" s="6" t="n">
        <v>0</v>
      </c>
      <c r="K25" s="6" t="n">
        <v>1501.24</v>
      </c>
      <c r="L25" s="6" t="n">
        <v>2.33</v>
      </c>
      <c r="M25" s="6" t="n">
        <v>1501.24</v>
      </c>
      <c r="N25" s="30" t="s">
        <v>424</v>
      </c>
      <c r="O25" s="4"/>
    </row>
    <row r="26" customFormat="false" ht="15" hidden="false" customHeight="false" outlineLevel="0" collapsed="false">
      <c r="A26" s="15" t="s">
        <v>355</v>
      </c>
      <c r="B26" s="4" t="s">
        <v>356</v>
      </c>
      <c r="C26" s="4" t="s">
        <v>357</v>
      </c>
      <c r="D26" s="4" t="s">
        <v>100</v>
      </c>
      <c r="E26" s="4" t="s">
        <v>12</v>
      </c>
      <c r="F26" s="4" t="s">
        <v>48</v>
      </c>
      <c r="G26" s="6" t="n">
        <v>15439</v>
      </c>
      <c r="H26" s="6" t="n">
        <v>18500.03</v>
      </c>
      <c r="I26" s="6" t="n">
        <v>-19.27</v>
      </c>
      <c r="J26" s="6" t="n">
        <v>0</v>
      </c>
      <c r="K26" s="6" t="n">
        <v>1850</v>
      </c>
      <c r="L26" s="6" t="n">
        <v>446.45</v>
      </c>
      <c r="M26" s="6" t="n">
        <v>1850.01</v>
      </c>
      <c r="N26" s="30" t="s">
        <v>424</v>
      </c>
      <c r="O26" s="4"/>
    </row>
    <row r="27" customFormat="false" ht="15" hidden="false" customHeight="false" outlineLevel="0" collapsed="false">
      <c r="A27" s="15" t="s">
        <v>352</v>
      </c>
      <c r="B27" s="4" t="s">
        <v>353</v>
      </c>
      <c r="C27" s="4" t="s">
        <v>354</v>
      </c>
      <c r="D27" s="4" t="s">
        <v>15</v>
      </c>
      <c r="E27" s="4" t="s">
        <v>15</v>
      </c>
      <c r="F27" s="4" t="s">
        <v>42</v>
      </c>
      <c r="G27" s="6" t="n">
        <v>78848</v>
      </c>
      <c r="H27" s="6" t="n">
        <v>55192.82</v>
      </c>
      <c r="I27" s="6" t="n">
        <v>1616</v>
      </c>
      <c r="J27" s="6" t="n">
        <v>-9847.73</v>
      </c>
      <c r="K27" s="6" t="n">
        <v>5519.28</v>
      </c>
      <c r="L27" s="6" t="n">
        <v>-1648.72</v>
      </c>
      <c r="M27" s="6" t="n">
        <v>5519.28</v>
      </c>
      <c r="N27" s="30" t="s">
        <v>424</v>
      </c>
      <c r="O27" s="4"/>
    </row>
    <row r="28" customFormat="false" ht="15" hidden="false" customHeight="false" outlineLevel="0" collapsed="false">
      <c r="A28" s="15" t="s">
        <v>349</v>
      </c>
      <c r="B28" s="4" t="s">
        <v>350</v>
      </c>
      <c r="C28" s="4" t="s">
        <v>351</v>
      </c>
      <c r="D28" s="4" t="s">
        <v>15</v>
      </c>
      <c r="E28" s="4" t="s">
        <v>15</v>
      </c>
      <c r="F28" s="4" t="s">
        <v>42</v>
      </c>
      <c r="G28" s="6" t="n">
        <v>45416.8</v>
      </c>
      <c r="H28" s="6" t="n">
        <v>38463.66</v>
      </c>
      <c r="I28" s="6" t="n">
        <v>989.09</v>
      </c>
      <c r="J28" s="6" t="n">
        <v>-6987.25</v>
      </c>
      <c r="K28" s="6" t="n">
        <v>3846.37</v>
      </c>
      <c r="L28" s="6" t="n">
        <v>-282.43</v>
      </c>
      <c r="M28" s="6" t="n">
        <v>3846.37</v>
      </c>
      <c r="N28" s="30" t="s">
        <v>424</v>
      </c>
      <c r="O28" s="4"/>
    </row>
    <row r="29" customFormat="false" ht="15" hidden="false" customHeight="false" outlineLevel="0" collapsed="false">
      <c r="A29" s="15" t="s">
        <v>346</v>
      </c>
      <c r="B29" s="4" t="s">
        <v>347</v>
      </c>
      <c r="C29" s="4" t="s">
        <v>348</v>
      </c>
      <c r="D29" s="4" t="s">
        <v>434</v>
      </c>
      <c r="E29" s="4" t="s">
        <v>434</v>
      </c>
      <c r="F29" s="4" t="s">
        <v>42</v>
      </c>
      <c r="G29" s="6" t="n">
        <v>34986.6</v>
      </c>
      <c r="H29" s="6" t="n">
        <v>30774</v>
      </c>
      <c r="I29" s="6" t="n">
        <v>-1183.27</v>
      </c>
      <c r="J29" s="6" t="n">
        <v>0</v>
      </c>
      <c r="K29" s="6" t="n">
        <v>3077.4</v>
      </c>
      <c r="L29" s="6" t="n">
        <v>-103.2</v>
      </c>
      <c r="M29" s="6" t="n">
        <v>3077.4</v>
      </c>
      <c r="N29" s="30" t="s">
        <v>424</v>
      </c>
      <c r="O29" s="4"/>
    </row>
    <row r="30" customFormat="false" ht="15" hidden="false" customHeight="false" outlineLevel="0" collapsed="false">
      <c r="A30" s="15" t="s">
        <v>343</v>
      </c>
      <c r="B30" s="4" t="s">
        <v>344</v>
      </c>
      <c r="C30" s="4" t="s">
        <v>345</v>
      </c>
      <c r="D30" s="4" t="s">
        <v>20</v>
      </c>
      <c r="E30" s="4" t="s">
        <v>15</v>
      </c>
      <c r="F30" s="4" t="s">
        <v>42</v>
      </c>
      <c r="G30" s="6" t="n">
        <v>26011.6</v>
      </c>
      <c r="H30" s="6" t="n">
        <v>21418.91</v>
      </c>
      <c r="I30" s="6" t="n">
        <v>-49.27</v>
      </c>
      <c r="J30" s="6" t="n">
        <v>0</v>
      </c>
      <c r="K30" s="6" t="n">
        <v>2141.89</v>
      </c>
      <c r="L30" s="6" t="n">
        <v>-222.8</v>
      </c>
      <c r="M30" s="6" t="n">
        <v>1070.94</v>
      </c>
      <c r="N30" s="30" t="s">
        <v>424</v>
      </c>
      <c r="O30" s="4"/>
    </row>
    <row r="31" customFormat="false" ht="15" hidden="false" customHeight="false" outlineLevel="0" collapsed="false">
      <c r="A31" s="15" t="s">
        <v>340</v>
      </c>
      <c r="B31" s="4" t="s">
        <v>341</v>
      </c>
      <c r="C31" s="4" t="s">
        <v>342</v>
      </c>
      <c r="D31" s="4" t="s">
        <v>15</v>
      </c>
      <c r="E31" s="4" t="s">
        <v>15</v>
      </c>
      <c r="F31" s="4" t="s">
        <v>42</v>
      </c>
      <c r="G31" s="6" t="n">
        <v>35698.8</v>
      </c>
      <c r="H31" s="6" t="n">
        <v>25594.37</v>
      </c>
      <c r="I31" s="6" t="n">
        <v>204.37</v>
      </c>
      <c r="J31" s="6" t="n">
        <v>0</v>
      </c>
      <c r="K31" s="6" t="n">
        <v>0</v>
      </c>
      <c r="L31" s="6" t="n">
        <v>-3245.35</v>
      </c>
      <c r="M31" s="6" t="n">
        <v>0</v>
      </c>
      <c r="N31" s="30" t="s">
        <v>424</v>
      </c>
      <c r="O31" s="4"/>
    </row>
    <row r="32" customFormat="false" ht="15" hidden="false" customHeight="false" outlineLevel="0" collapsed="false">
      <c r="A32" s="15" t="s">
        <v>337</v>
      </c>
      <c r="B32" s="4" t="s">
        <v>338</v>
      </c>
      <c r="C32" s="4" t="s">
        <v>339</v>
      </c>
      <c r="D32" s="4" t="s">
        <v>435</v>
      </c>
      <c r="E32" s="4" t="s">
        <v>15</v>
      </c>
      <c r="F32" s="4" t="s">
        <v>42</v>
      </c>
      <c r="G32" s="6" t="n">
        <v>45915</v>
      </c>
      <c r="H32" s="6" t="n">
        <v>43140.09</v>
      </c>
      <c r="I32" s="6" t="n">
        <v>1210.09</v>
      </c>
      <c r="J32" s="6" t="n">
        <v>0</v>
      </c>
      <c r="K32" s="6" t="n">
        <v>4314.01</v>
      </c>
      <c r="L32" s="6" t="n">
        <v>139.92</v>
      </c>
      <c r="M32" s="6" t="n">
        <v>4314.01</v>
      </c>
      <c r="N32" s="30" t="s">
        <v>424</v>
      </c>
      <c r="O32" s="4"/>
    </row>
    <row r="33" customFormat="false" ht="15" hidden="false" customHeight="false" outlineLevel="0" collapsed="false">
      <c r="A33" s="15" t="s">
        <v>334</v>
      </c>
      <c r="B33" s="4" t="s">
        <v>335</v>
      </c>
      <c r="C33" s="4" t="s">
        <v>336</v>
      </c>
      <c r="D33" s="4" t="s">
        <v>434</v>
      </c>
      <c r="E33" s="4" t="s">
        <v>15</v>
      </c>
      <c r="F33" s="4" t="s">
        <v>42</v>
      </c>
      <c r="G33" s="6" t="n">
        <v>20594.6</v>
      </c>
      <c r="H33" s="6" t="n">
        <v>15159.81</v>
      </c>
      <c r="I33" s="6" t="n">
        <v>-2419.64</v>
      </c>
      <c r="J33" s="6" t="n">
        <v>-1920.55</v>
      </c>
      <c r="K33" s="6" t="n">
        <v>2200</v>
      </c>
      <c r="L33" s="6" t="n">
        <v>327.76</v>
      </c>
      <c r="M33" s="6" t="n">
        <v>2200</v>
      </c>
      <c r="N33" s="30" t="s">
        <v>424</v>
      </c>
      <c r="O33" s="4"/>
    </row>
    <row r="34" customFormat="false" ht="15" hidden="false" customHeight="false" outlineLevel="0" collapsed="false">
      <c r="A34" s="15" t="s">
        <v>328</v>
      </c>
      <c r="B34" s="4" t="s">
        <v>329</v>
      </c>
      <c r="C34" s="4" t="s">
        <v>330</v>
      </c>
      <c r="D34" s="4" t="s">
        <v>417</v>
      </c>
      <c r="E34" s="4" t="s">
        <v>436</v>
      </c>
      <c r="F34" s="4" t="s">
        <v>48</v>
      </c>
      <c r="G34" s="6" t="n">
        <v>31267.25</v>
      </c>
      <c r="H34" s="6" t="n">
        <v>29040.7</v>
      </c>
      <c r="I34" s="6" t="n">
        <v>0</v>
      </c>
      <c r="J34" s="6" t="n">
        <v>-5624.98</v>
      </c>
      <c r="K34" s="6" t="n">
        <v>2904.07</v>
      </c>
      <c r="L34" s="6" t="n">
        <v>61.59</v>
      </c>
      <c r="M34" s="6" t="n">
        <v>2904.05</v>
      </c>
      <c r="N34" s="30" t="s">
        <v>424</v>
      </c>
      <c r="O34" s="4"/>
    </row>
    <row r="35" customFormat="false" ht="15" hidden="false" customHeight="false" outlineLevel="0" collapsed="false">
      <c r="A35" s="15" t="s">
        <v>328</v>
      </c>
      <c r="B35" s="4" t="s">
        <v>331</v>
      </c>
      <c r="C35" s="4" t="s">
        <v>330</v>
      </c>
      <c r="D35" s="4" t="s">
        <v>437</v>
      </c>
      <c r="E35" s="4" t="s">
        <v>417</v>
      </c>
      <c r="F35" s="4" t="s">
        <v>48</v>
      </c>
      <c r="G35" s="6" t="n">
        <v>37882.25</v>
      </c>
      <c r="H35" s="6" t="n">
        <v>29963.05</v>
      </c>
      <c r="I35" s="6" t="n">
        <v>922.36</v>
      </c>
      <c r="J35" s="6" t="n">
        <v>-5624.99</v>
      </c>
      <c r="K35" s="6" t="n">
        <v>2996.31</v>
      </c>
      <c r="L35" s="6" t="n">
        <v>-447.53</v>
      </c>
      <c r="M35" s="6" t="n">
        <v>2996.3</v>
      </c>
      <c r="N35" s="30" t="s">
        <v>424</v>
      </c>
      <c r="O35" s="4"/>
    </row>
    <row r="36" customFormat="false" ht="15" hidden="false" customHeight="false" outlineLevel="0" collapsed="false">
      <c r="A36" s="15" t="s">
        <v>332</v>
      </c>
      <c r="B36" s="4" t="s">
        <v>333</v>
      </c>
      <c r="C36" s="4" t="s">
        <v>330</v>
      </c>
      <c r="D36" s="4" t="s">
        <v>437</v>
      </c>
      <c r="E36" s="4" t="s">
        <v>438</v>
      </c>
      <c r="F36" s="4" t="s">
        <v>48</v>
      </c>
      <c r="G36" s="6" t="n">
        <v>22668</v>
      </c>
      <c r="H36" s="6" t="n">
        <v>17035.93</v>
      </c>
      <c r="I36" s="6" t="n">
        <v>-1332.18</v>
      </c>
      <c r="J36" s="6" t="n">
        <v>-3148.25</v>
      </c>
      <c r="K36" s="6" t="n">
        <v>1703.59</v>
      </c>
      <c r="L36" s="6" t="n">
        <v>-357.14</v>
      </c>
      <c r="M36" s="6" t="n">
        <v>1703.6</v>
      </c>
      <c r="N36" s="30" t="s">
        <v>424</v>
      </c>
      <c r="O36" s="4"/>
    </row>
    <row r="37" customFormat="false" ht="15" hidden="false" customHeight="false" outlineLevel="0" collapsed="false">
      <c r="A37" s="15" t="s">
        <v>325</v>
      </c>
      <c r="B37" s="4" t="s">
        <v>326</v>
      </c>
      <c r="C37" s="4" t="s">
        <v>327</v>
      </c>
      <c r="D37" s="4" t="s">
        <v>417</v>
      </c>
      <c r="E37" s="4" t="s">
        <v>439</v>
      </c>
      <c r="F37" s="4" t="s">
        <v>48</v>
      </c>
      <c r="G37" s="6" t="n">
        <v>35548</v>
      </c>
      <c r="H37" s="6" t="n">
        <v>27179.55</v>
      </c>
      <c r="I37" s="6" t="n">
        <v>-949.8</v>
      </c>
      <c r="J37" s="6" t="n">
        <v>-5225.2</v>
      </c>
      <c r="K37" s="6" t="n">
        <v>2717.96</v>
      </c>
      <c r="L37" s="6" t="n">
        <v>-513.68</v>
      </c>
      <c r="M37" s="6" t="n">
        <v>2717.95</v>
      </c>
      <c r="N37" s="30" t="s">
        <v>424</v>
      </c>
      <c r="O37" s="4"/>
    </row>
    <row r="38" customFormat="false" ht="15" hidden="false" customHeight="false" outlineLevel="0" collapsed="false">
      <c r="A38" s="15" t="s">
        <v>320</v>
      </c>
      <c r="B38" s="4" t="s">
        <v>321</v>
      </c>
      <c r="C38" s="4" t="s">
        <v>322</v>
      </c>
      <c r="D38" s="4" t="s">
        <v>440</v>
      </c>
      <c r="E38" s="4" t="s">
        <v>417</v>
      </c>
      <c r="F38" s="4" t="s">
        <v>48</v>
      </c>
      <c r="G38" s="6" t="n">
        <v>24667</v>
      </c>
      <c r="H38" s="6" t="n">
        <v>21951.09</v>
      </c>
      <c r="I38" s="6" t="n">
        <v>-138.91</v>
      </c>
      <c r="J38" s="6" t="n">
        <v>0</v>
      </c>
      <c r="K38" s="6" t="n">
        <v>2195.11</v>
      </c>
      <c r="L38" s="6" t="n">
        <v>-47.34</v>
      </c>
      <c r="M38" s="6" t="n">
        <v>2195.1</v>
      </c>
      <c r="N38" s="30" t="s">
        <v>424</v>
      </c>
      <c r="O38" s="4"/>
    </row>
    <row r="39" customFormat="false" ht="15" hidden="false" customHeight="false" outlineLevel="0" collapsed="false">
      <c r="A39" s="15" t="s">
        <v>323</v>
      </c>
      <c r="B39" s="4" t="s">
        <v>324</v>
      </c>
      <c r="C39" s="4" t="s">
        <v>322</v>
      </c>
      <c r="D39" s="4" t="s">
        <v>422</v>
      </c>
      <c r="E39" s="4" t="s">
        <v>417</v>
      </c>
      <c r="F39" s="4" t="s">
        <v>48</v>
      </c>
      <c r="G39" s="6" t="n">
        <v>22630</v>
      </c>
      <c r="H39" s="6" t="n">
        <v>21195.27</v>
      </c>
      <c r="I39" s="6" t="n">
        <v>1077.09</v>
      </c>
      <c r="J39" s="6" t="n">
        <v>0</v>
      </c>
      <c r="K39" s="6" t="n">
        <v>2119.53</v>
      </c>
      <c r="L39" s="6" t="n">
        <v>62.26</v>
      </c>
      <c r="M39" s="6" t="n">
        <v>2119.55</v>
      </c>
      <c r="N39" s="30" t="s">
        <v>424</v>
      </c>
      <c r="O39" s="4"/>
    </row>
    <row r="40" customFormat="false" ht="15" hidden="false" customHeight="false" outlineLevel="0" collapsed="false">
      <c r="A40" s="15" t="s">
        <v>317</v>
      </c>
      <c r="B40" s="4" t="s">
        <v>318</v>
      </c>
      <c r="C40" s="4" t="s">
        <v>319</v>
      </c>
      <c r="D40" s="4" t="s">
        <v>417</v>
      </c>
      <c r="E40" s="4" t="s">
        <v>441</v>
      </c>
      <c r="F40" s="4" t="s">
        <v>48</v>
      </c>
      <c r="G40" s="6" t="n">
        <v>36086</v>
      </c>
      <c r="H40" s="6" t="n">
        <v>31393.27</v>
      </c>
      <c r="I40" s="6" t="n">
        <v>566</v>
      </c>
      <c r="J40" s="6" t="n">
        <v>0</v>
      </c>
      <c r="K40" s="6" t="n">
        <v>3139.33</v>
      </c>
      <c r="L40" s="6" t="n">
        <v>-141.22</v>
      </c>
      <c r="M40" s="6" t="n">
        <v>3139.35</v>
      </c>
      <c r="N40" s="30" t="s">
        <v>424</v>
      </c>
      <c r="O40" s="4"/>
    </row>
    <row r="41" customFormat="false" ht="15" hidden="false" customHeight="false" outlineLevel="0" collapsed="false">
      <c r="A41" s="15" t="s">
        <v>314</v>
      </c>
      <c r="B41" s="4" t="s">
        <v>315</v>
      </c>
      <c r="C41" s="4" t="s">
        <v>316</v>
      </c>
      <c r="D41" s="4" t="s">
        <v>12</v>
      </c>
      <c r="E41" s="4" t="s">
        <v>12</v>
      </c>
      <c r="F41" s="4" t="s">
        <v>42</v>
      </c>
      <c r="G41" s="6" t="n">
        <v>33761.6</v>
      </c>
      <c r="H41" s="6" t="n">
        <v>27708.72</v>
      </c>
      <c r="I41" s="6" t="n">
        <v>455.09</v>
      </c>
      <c r="J41" s="6" t="n">
        <v>0</v>
      </c>
      <c r="K41" s="6" t="n">
        <v>2770.87</v>
      </c>
      <c r="L41" s="6" t="n">
        <v>-298.37</v>
      </c>
      <c r="M41" s="6" t="n">
        <v>2770.87</v>
      </c>
      <c r="N41" s="30" t="s">
        <v>424</v>
      </c>
      <c r="O41" s="4"/>
    </row>
    <row r="42" customFormat="false" ht="15" hidden="false" customHeight="false" outlineLevel="0" collapsed="false">
      <c r="A42" s="15" t="s">
        <v>307</v>
      </c>
      <c r="B42" s="4" t="s">
        <v>308</v>
      </c>
      <c r="C42" s="4" t="s">
        <v>309</v>
      </c>
      <c r="D42" s="4" t="s">
        <v>442</v>
      </c>
      <c r="E42" s="4" t="s">
        <v>443</v>
      </c>
      <c r="F42" s="4" t="s">
        <v>48</v>
      </c>
      <c r="G42" s="6" t="n">
        <v>19261.6</v>
      </c>
      <c r="H42" s="6" t="n">
        <v>26809.55</v>
      </c>
      <c r="I42" s="6" t="n">
        <v>1548.55</v>
      </c>
      <c r="J42" s="6" t="n">
        <v>0</v>
      </c>
      <c r="K42" s="6" t="n">
        <v>2680.96</v>
      </c>
      <c r="L42" s="6" t="n">
        <v>929.91</v>
      </c>
      <c r="M42" s="6" t="n">
        <v>2680.98</v>
      </c>
      <c r="N42" s="30" t="s">
        <v>424</v>
      </c>
      <c r="O42" s="4"/>
    </row>
    <row r="43" customFormat="false" ht="15" hidden="false" customHeight="false" outlineLevel="0" collapsed="false">
      <c r="A43" s="15" t="s">
        <v>310</v>
      </c>
      <c r="B43" s="4" t="s">
        <v>311</v>
      </c>
      <c r="C43" s="4" t="s">
        <v>309</v>
      </c>
      <c r="D43" s="4" t="s">
        <v>434</v>
      </c>
      <c r="E43" s="4" t="s">
        <v>15</v>
      </c>
      <c r="F43" s="4" t="s">
        <v>42</v>
      </c>
      <c r="G43" s="6" t="n">
        <v>27025.4</v>
      </c>
      <c r="H43" s="6" t="n">
        <v>20744.36</v>
      </c>
      <c r="I43" s="6" t="n">
        <v>-4801.09</v>
      </c>
      <c r="J43" s="6" t="n">
        <v>0</v>
      </c>
      <c r="K43" s="6" t="n">
        <v>2074.44</v>
      </c>
      <c r="L43" s="6" t="n">
        <v>-382.41</v>
      </c>
      <c r="M43" s="6" t="n">
        <v>2074.44</v>
      </c>
      <c r="N43" s="30" t="s">
        <v>424</v>
      </c>
      <c r="O43" s="4"/>
    </row>
    <row r="44" customFormat="false" ht="15" hidden="false" customHeight="false" outlineLevel="0" collapsed="false">
      <c r="A44" s="15" t="s">
        <v>312</v>
      </c>
      <c r="B44" s="4" t="s">
        <v>313</v>
      </c>
      <c r="C44" s="4" t="s">
        <v>309</v>
      </c>
      <c r="D44" s="4" t="s">
        <v>15</v>
      </c>
      <c r="E44" s="4" t="s">
        <v>15</v>
      </c>
      <c r="F44" s="4" t="s">
        <v>42</v>
      </c>
      <c r="G44" s="6" t="n">
        <v>26209.62</v>
      </c>
      <c r="H44" s="6" t="n">
        <v>23880</v>
      </c>
      <c r="I44" s="6" t="n">
        <v>53.07</v>
      </c>
      <c r="J44" s="6" t="n">
        <v>0</v>
      </c>
      <c r="K44" s="6" t="n">
        <v>2388</v>
      </c>
      <c r="L44" s="6" t="n">
        <v>5.31</v>
      </c>
      <c r="M44" s="6" t="n">
        <v>2388</v>
      </c>
      <c r="N44" s="30" t="s">
        <v>424</v>
      </c>
      <c r="O44" s="4"/>
    </row>
    <row r="45" customFormat="false" ht="15" hidden="false" customHeight="false" outlineLevel="0" collapsed="false">
      <c r="A45" s="15" t="s">
        <v>304</v>
      </c>
      <c r="B45" s="4" t="s">
        <v>305</v>
      </c>
      <c r="C45" s="4" t="s">
        <v>306</v>
      </c>
      <c r="D45" s="4" t="s">
        <v>12</v>
      </c>
      <c r="E45" s="4" t="s">
        <v>41</v>
      </c>
      <c r="F45" s="4" t="s">
        <v>42</v>
      </c>
      <c r="G45" s="6" t="n">
        <v>53448.08</v>
      </c>
      <c r="H45" s="6" t="n">
        <v>46590.14</v>
      </c>
      <c r="I45" s="6" t="n">
        <v>-5689.37</v>
      </c>
      <c r="J45" s="6" t="n">
        <v>0</v>
      </c>
      <c r="K45" s="6" t="n">
        <v>4659.01</v>
      </c>
      <c r="L45" s="6" t="n">
        <v>-199.91</v>
      </c>
      <c r="M45" s="6" t="n">
        <v>4659.01</v>
      </c>
      <c r="N45" s="30" t="s">
        <v>424</v>
      </c>
      <c r="O45" s="4"/>
    </row>
    <row r="46" customFormat="false" ht="15" hidden="false" customHeight="false" outlineLevel="0" collapsed="false">
      <c r="A46" s="15" t="s">
        <v>299</v>
      </c>
      <c r="B46" s="4" t="s">
        <v>300</v>
      </c>
      <c r="C46" s="4" t="s">
        <v>301</v>
      </c>
      <c r="D46" s="4" t="s">
        <v>444</v>
      </c>
      <c r="E46" s="4" t="s">
        <v>445</v>
      </c>
      <c r="F46" s="4" t="s">
        <v>48</v>
      </c>
      <c r="G46" s="6" t="n">
        <v>23526.6</v>
      </c>
      <c r="H46" s="6" t="n">
        <v>19873.48</v>
      </c>
      <c r="I46" s="6" t="n">
        <v>993.64</v>
      </c>
      <c r="J46" s="6" t="n">
        <v>-1528.34</v>
      </c>
      <c r="K46" s="6" t="n">
        <v>1987.35</v>
      </c>
      <c r="L46" s="6" t="n">
        <v>-151.43</v>
      </c>
      <c r="M46" s="6" t="n">
        <v>1987.36</v>
      </c>
      <c r="N46" s="30" t="s">
        <v>424</v>
      </c>
      <c r="O46" s="4"/>
    </row>
    <row r="47" customFormat="false" ht="15" hidden="false" customHeight="false" outlineLevel="0" collapsed="false">
      <c r="A47" s="15" t="s">
        <v>302</v>
      </c>
      <c r="B47" s="4" t="s">
        <v>303</v>
      </c>
      <c r="C47" s="4" t="s">
        <v>301</v>
      </c>
      <c r="D47" s="4" t="s">
        <v>444</v>
      </c>
      <c r="E47" s="4" t="s">
        <v>445</v>
      </c>
      <c r="F47" s="4" t="s">
        <v>48</v>
      </c>
      <c r="G47" s="6" t="n">
        <v>29199.2</v>
      </c>
      <c r="H47" s="6" t="n">
        <v>25934.73</v>
      </c>
      <c r="I47" s="6" t="n">
        <v>-610</v>
      </c>
      <c r="J47" s="6" t="n">
        <v>0</v>
      </c>
      <c r="K47" s="6" t="n">
        <v>2593.47</v>
      </c>
      <c r="L47" s="6" t="n">
        <v>-61</v>
      </c>
      <c r="M47" s="6" t="n">
        <v>2593.48</v>
      </c>
      <c r="N47" s="30" t="s">
        <v>424</v>
      </c>
      <c r="O47" s="4"/>
    </row>
    <row r="48" customFormat="false" ht="15" hidden="false" customHeight="false" outlineLevel="0" collapsed="false">
      <c r="A48" s="15" t="s">
        <v>294</v>
      </c>
      <c r="B48" s="4" t="s">
        <v>295</v>
      </c>
      <c r="C48" s="4" t="s">
        <v>296</v>
      </c>
      <c r="D48" s="4" t="s">
        <v>444</v>
      </c>
      <c r="E48" s="4" t="s">
        <v>445</v>
      </c>
      <c r="F48" s="4" t="s">
        <v>48</v>
      </c>
      <c r="G48" s="6" t="n">
        <v>38748.2</v>
      </c>
      <c r="H48" s="6" t="n">
        <v>30285.48</v>
      </c>
      <c r="I48" s="6" t="n">
        <v>-3412.73</v>
      </c>
      <c r="J48" s="6" t="n">
        <v>-3506.34</v>
      </c>
      <c r="K48" s="6" t="n">
        <v>3028.55</v>
      </c>
      <c r="L48" s="6" t="n">
        <v>-494.01</v>
      </c>
      <c r="M48" s="6" t="n">
        <v>3028.56</v>
      </c>
      <c r="N48" s="30" t="s">
        <v>424</v>
      </c>
      <c r="O48" s="4"/>
    </row>
    <row r="49" customFormat="false" ht="15" hidden="false" customHeight="false" outlineLevel="0" collapsed="false">
      <c r="A49" s="15" t="s">
        <v>297</v>
      </c>
      <c r="B49" s="4" t="s">
        <v>298</v>
      </c>
      <c r="C49" s="4" t="s">
        <v>296</v>
      </c>
      <c r="D49" s="4" t="s">
        <v>446</v>
      </c>
      <c r="E49" s="4" t="s">
        <v>447</v>
      </c>
      <c r="F49" s="4" t="s">
        <v>48</v>
      </c>
      <c r="G49" s="6" t="n">
        <v>24250</v>
      </c>
      <c r="H49" s="6" t="n">
        <v>20990.45</v>
      </c>
      <c r="I49" s="6" t="n">
        <v>-761.36</v>
      </c>
      <c r="J49" s="6" t="n">
        <v>0</v>
      </c>
      <c r="K49" s="6" t="n">
        <v>2099.05</v>
      </c>
      <c r="L49" s="6" t="n">
        <v>-105.5</v>
      </c>
      <c r="M49" s="6" t="n">
        <v>2099.04</v>
      </c>
      <c r="N49" s="30" t="s">
        <v>424</v>
      </c>
      <c r="O49" s="4"/>
    </row>
    <row r="50" customFormat="false" ht="15" hidden="false" customHeight="false" outlineLevel="0" collapsed="false">
      <c r="A50" s="15" t="s">
        <v>289</v>
      </c>
      <c r="B50" s="4" t="s">
        <v>290</v>
      </c>
      <c r="C50" s="4" t="s">
        <v>291</v>
      </c>
      <c r="D50" s="4" t="s">
        <v>444</v>
      </c>
      <c r="E50" s="4" t="s">
        <v>445</v>
      </c>
      <c r="F50" s="4" t="s">
        <v>48</v>
      </c>
      <c r="G50" s="6" t="n">
        <v>32097.6</v>
      </c>
      <c r="H50" s="6" t="n">
        <v>30780.91</v>
      </c>
      <c r="I50" s="6" t="n">
        <v>71.82</v>
      </c>
      <c r="J50" s="6" t="n">
        <v>0</v>
      </c>
      <c r="K50" s="6" t="n">
        <v>3078.09</v>
      </c>
      <c r="L50" s="6" t="n">
        <v>160.13</v>
      </c>
      <c r="M50" s="6" t="n">
        <v>3078.08</v>
      </c>
      <c r="N50" s="30" t="s">
        <v>424</v>
      </c>
      <c r="O50" s="4"/>
    </row>
    <row r="51" customFormat="false" ht="15" hidden="false" customHeight="false" outlineLevel="0" collapsed="false">
      <c r="A51" s="15" t="s">
        <v>292</v>
      </c>
      <c r="B51" s="4" t="s">
        <v>293</v>
      </c>
      <c r="C51" s="4" t="s">
        <v>291</v>
      </c>
      <c r="D51" s="4" t="s">
        <v>444</v>
      </c>
      <c r="E51" s="4" t="s">
        <v>445</v>
      </c>
      <c r="F51" s="4" t="s">
        <v>48</v>
      </c>
      <c r="G51" s="6" t="n">
        <v>14851.2</v>
      </c>
      <c r="H51" s="6" t="n">
        <v>14424.91</v>
      </c>
      <c r="I51" s="6" t="n">
        <v>1120.37</v>
      </c>
      <c r="J51" s="6" t="n">
        <v>0</v>
      </c>
      <c r="K51" s="6" t="n">
        <v>1442.49</v>
      </c>
      <c r="L51" s="6" t="n">
        <v>92.38</v>
      </c>
      <c r="M51" s="6" t="n">
        <v>1442.48</v>
      </c>
      <c r="N51" s="30" t="s">
        <v>424</v>
      </c>
      <c r="O51" s="4"/>
    </row>
    <row r="52" customFormat="false" ht="15" hidden="false" customHeight="false" outlineLevel="0" collapsed="false">
      <c r="A52" s="15" t="s">
        <v>286</v>
      </c>
      <c r="B52" s="4" t="s">
        <v>287</v>
      </c>
      <c r="C52" s="4" t="s">
        <v>288</v>
      </c>
      <c r="D52" s="4" t="s">
        <v>20</v>
      </c>
      <c r="E52" s="4" t="s">
        <v>15</v>
      </c>
      <c r="F52" s="4" t="s">
        <v>42</v>
      </c>
      <c r="G52" s="6" t="n">
        <v>31049.2</v>
      </c>
      <c r="H52" s="6" t="n">
        <v>27931.64</v>
      </c>
      <c r="I52" s="6" t="n">
        <v>-704.72</v>
      </c>
      <c r="J52" s="6" t="n">
        <v>0</v>
      </c>
      <c r="K52" s="6" t="n">
        <v>2793.16</v>
      </c>
      <c r="L52" s="6" t="n">
        <v>-29.49</v>
      </c>
      <c r="M52" s="6" t="n">
        <v>1396.58</v>
      </c>
      <c r="N52" s="30" t="s">
        <v>424</v>
      </c>
      <c r="O52" s="4"/>
    </row>
    <row r="53" customFormat="false" ht="15" hidden="false" customHeight="false" outlineLevel="0" collapsed="false">
      <c r="A53" s="15" t="s">
        <v>283</v>
      </c>
      <c r="B53" s="4" t="s">
        <v>284</v>
      </c>
      <c r="C53" s="4" t="s">
        <v>285</v>
      </c>
      <c r="D53" s="4" t="s">
        <v>442</v>
      </c>
      <c r="E53" s="4" t="s">
        <v>443</v>
      </c>
      <c r="F53" s="4" t="s">
        <v>48</v>
      </c>
      <c r="G53" s="6" t="n">
        <v>48152.8</v>
      </c>
      <c r="H53" s="6" t="n">
        <v>36557.24</v>
      </c>
      <c r="I53" s="6" t="n">
        <v>-375.09</v>
      </c>
      <c r="J53" s="6" t="n">
        <v>-6842.94</v>
      </c>
      <c r="K53" s="6" t="n">
        <v>3655.72</v>
      </c>
      <c r="L53" s="6" t="n">
        <v>-721.81</v>
      </c>
      <c r="M53" s="6" t="n">
        <v>3655.74</v>
      </c>
      <c r="N53" s="30" t="s">
        <v>424</v>
      </c>
      <c r="O53" s="4"/>
    </row>
    <row r="54" customFormat="false" ht="15" hidden="false" customHeight="false" outlineLevel="0" collapsed="false">
      <c r="A54" s="15" t="s">
        <v>278</v>
      </c>
      <c r="B54" s="4" t="s">
        <v>279</v>
      </c>
      <c r="C54" s="4" t="s">
        <v>280</v>
      </c>
      <c r="D54" s="4" t="s">
        <v>442</v>
      </c>
      <c r="E54" s="4" t="s">
        <v>443</v>
      </c>
      <c r="F54" s="4" t="s">
        <v>48</v>
      </c>
      <c r="G54" s="6" t="n">
        <v>30114</v>
      </c>
      <c r="H54" s="6" t="n">
        <v>23598.95</v>
      </c>
      <c r="I54" s="6" t="n">
        <v>-1460.73</v>
      </c>
      <c r="J54" s="6" t="n">
        <v>-3466.87</v>
      </c>
      <c r="K54" s="6" t="n">
        <v>2359.9</v>
      </c>
      <c r="L54" s="6" t="n">
        <v>-377.74</v>
      </c>
      <c r="M54" s="6" t="n">
        <v>2359.92</v>
      </c>
      <c r="N54" s="30" t="s">
        <v>424</v>
      </c>
      <c r="O54" s="4"/>
    </row>
    <row r="55" customFormat="false" ht="15" hidden="false" customHeight="false" outlineLevel="0" collapsed="false">
      <c r="A55" s="15" t="s">
        <v>281</v>
      </c>
      <c r="B55" s="4" t="s">
        <v>282</v>
      </c>
      <c r="C55" s="4" t="s">
        <v>280</v>
      </c>
      <c r="D55" s="4" t="s">
        <v>442</v>
      </c>
      <c r="E55" s="4" t="s">
        <v>443</v>
      </c>
      <c r="F55" s="4" t="s">
        <v>48</v>
      </c>
      <c r="G55" s="6" t="n">
        <v>30394.4</v>
      </c>
      <c r="H55" s="6" t="n">
        <v>22983.38</v>
      </c>
      <c r="I55" s="6" t="n">
        <v>-3362.18</v>
      </c>
      <c r="J55" s="6" t="n">
        <v>-3790.81</v>
      </c>
      <c r="K55" s="6" t="n">
        <v>2298.34</v>
      </c>
      <c r="L55" s="6" t="n">
        <v>-464.79</v>
      </c>
      <c r="M55" s="6" t="n">
        <v>2298.36</v>
      </c>
      <c r="N55" s="30" t="s">
        <v>424</v>
      </c>
      <c r="O55" s="4"/>
    </row>
    <row r="56" customFormat="false" ht="15" hidden="false" customHeight="false" outlineLevel="0" collapsed="false">
      <c r="A56" s="15" t="s">
        <v>273</v>
      </c>
      <c r="B56" s="4" t="s">
        <v>274</v>
      </c>
      <c r="C56" s="4" t="s">
        <v>275</v>
      </c>
      <c r="D56" s="4" t="s">
        <v>442</v>
      </c>
      <c r="E56" s="4" t="s">
        <v>443</v>
      </c>
      <c r="F56" s="4" t="s">
        <v>48</v>
      </c>
      <c r="G56" s="6" t="n">
        <v>27098.8</v>
      </c>
      <c r="H56" s="6" t="n">
        <v>20725.29</v>
      </c>
      <c r="I56" s="6" t="n">
        <v>-899.82</v>
      </c>
      <c r="J56" s="6" t="n">
        <v>-2451.07</v>
      </c>
      <c r="K56" s="6" t="n">
        <v>2072.53</v>
      </c>
      <c r="L56" s="6" t="n">
        <v>-391</v>
      </c>
      <c r="M56" s="6" t="n">
        <v>2072.52</v>
      </c>
      <c r="N56" s="30" t="s">
        <v>424</v>
      </c>
      <c r="O56" s="4"/>
    </row>
    <row r="57" customFormat="false" ht="15" hidden="false" customHeight="false" outlineLevel="0" collapsed="false">
      <c r="A57" s="15" t="s">
        <v>276</v>
      </c>
      <c r="B57" s="4" t="s">
        <v>277</v>
      </c>
      <c r="C57" s="4" t="s">
        <v>275</v>
      </c>
      <c r="D57" s="4" t="s">
        <v>15</v>
      </c>
      <c r="E57" s="4" t="s">
        <v>15</v>
      </c>
      <c r="F57" s="4" t="s">
        <v>42</v>
      </c>
      <c r="G57" s="6" t="n">
        <v>29890</v>
      </c>
      <c r="H57" s="6" t="n">
        <v>21320.77</v>
      </c>
      <c r="I57" s="6" t="n">
        <v>2040.91</v>
      </c>
      <c r="J57" s="6" t="n">
        <v>-3496.51</v>
      </c>
      <c r="K57" s="6" t="n">
        <v>2132.08</v>
      </c>
      <c r="L57" s="6" t="n">
        <v>-585.19</v>
      </c>
      <c r="M57" s="6" t="n">
        <v>2132.08</v>
      </c>
      <c r="N57" s="30" t="s">
        <v>424</v>
      </c>
      <c r="O57" s="4"/>
    </row>
    <row r="58" customFormat="false" ht="15" hidden="false" customHeight="false" outlineLevel="0" collapsed="false">
      <c r="A58" s="15" t="s">
        <v>270</v>
      </c>
      <c r="B58" s="4" t="s">
        <v>271</v>
      </c>
      <c r="C58" s="4" t="s">
        <v>272</v>
      </c>
      <c r="D58" s="4" t="s">
        <v>448</v>
      </c>
      <c r="E58" s="4" t="s">
        <v>20</v>
      </c>
      <c r="F58" s="4" t="s">
        <v>42</v>
      </c>
      <c r="G58" s="6" t="n">
        <v>16511.6</v>
      </c>
      <c r="H58" s="6" t="n">
        <v>15042.73</v>
      </c>
      <c r="I58" s="6" t="n">
        <v>-5207.27</v>
      </c>
      <c r="J58" s="6" t="n">
        <v>0</v>
      </c>
      <c r="K58" s="6" t="n">
        <v>0</v>
      </c>
      <c r="L58" s="6" t="n">
        <v>-1501.05</v>
      </c>
      <c r="M58" s="6" t="n">
        <v>0</v>
      </c>
      <c r="N58" s="30" t="s">
        <v>424</v>
      </c>
      <c r="O58" s="4"/>
    </row>
    <row r="59" customFormat="false" ht="15" hidden="false" customHeight="false" outlineLevel="0" collapsed="false">
      <c r="A59" s="15" t="s">
        <v>267</v>
      </c>
      <c r="B59" s="4" t="s">
        <v>268</v>
      </c>
      <c r="C59" s="4" t="s">
        <v>269</v>
      </c>
      <c r="D59" s="4" t="s">
        <v>434</v>
      </c>
      <c r="E59" s="4" t="s">
        <v>434</v>
      </c>
      <c r="F59" s="4" t="s">
        <v>42</v>
      </c>
      <c r="G59" s="6" t="n">
        <v>18139.6</v>
      </c>
      <c r="H59" s="6" t="n">
        <v>16631.82</v>
      </c>
      <c r="I59" s="6" t="n">
        <v>-636.36</v>
      </c>
      <c r="J59" s="6" t="n">
        <v>0</v>
      </c>
      <c r="K59" s="6" t="n">
        <v>1663.18</v>
      </c>
      <c r="L59" s="6" t="n">
        <v>14.13</v>
      </c>
      <c r="M59" s="6" t="n">
        <v>1663.18</v>
      </c>
      <c r="N59" s="30" t="s">
        <v>424</v>
      </c>
      <c r="O59" s="4"/>
    </row>
    <row r="60" customFormat="false" ht="15" hidden="false" customHeight="false" outlineLevel="0" collapsed="false">
      <c r="A60" s="15" t="s">
        <v>264</v>
      </c>
      <c r="B60" s="4" t="s">
        <v>265</v>
      </c>
      <c r="C60" s="4" t="s">
        <v>266</v>
      </c>
      <c r="D60" s="4" t="s">
        <v>16</v>
      </c>
      <c r="E60" s="4" t="s">
        <v>15</v>
      </c>
      <c r="F60" s="4" t="s">
        <v>42</v>
      </c>
      <c r="G60" s="6" t="n">
        <v>19415.1</v>
      </c>
      <c r="H60" s="6" t="n">
        <v>17344.55</v>
      </c>
      <c r="I60" s="6" t="n">
        <v>-500</v>
      </c>
      <c r="J60" s="6" t="n">
        <v>0</v>
      </c>
      <c r="K60" s="6" t="n">
        <v>1734.46</v>
      </c>
      <c r="L60" s="6" t="n">
        <v>-30.55</v>
      </c>
      <c r="M60" s="6" t="n">
        <v>1734.46</v>
      </c>
      <c r="N60" s="30" t="s">
        <v>424</v>
      </c>
      <c r="O60" s="4"/>
    </row>
    <row r="61" customFormat="false" ht="15" hidden="false" customHeight="false" outlineLevel="0" collapsed="false">
      <c r="A61" s="15" t="s">
        <v>261</v>
      </c>
      <c r="B61" s="4" t="s">
        <v>262</v>
      </c>
      <c r="C61" s="4" t="s">
        <v>263</v>
      </c>
      <c r="D61" s="4" t="s">
        <v>15</v>
      </c>
      <c r="E61" s="4" t="s">
        <v>15</v>
      </c>
      <c r="F61" s="4" t="s">
        <v>42</v>
      </c>
      <c r="G61" s="6" t="n">
        <v>57409.2</v>
      </c>
      <c r="H61" s="6" t="n">
        <v>44180.09</v>
      </c>
      <c r="I61" s="6" t="n">
        <v>3168.36</v>
      </c>
      <c r="J61" s="6" t="n">
        <v>-9859.18</v>
      </c>
      <c r="K61" s="6" t="n">
        <v>4418.01</v>
      </c>
      <c r="L61" s="6" t="n">
        <v>-801.01</v>
      </c>
      <c r="M61" s="6" t="n">
        <v>4418.01</v>
      </c>
      <c r="N61" s="30" t="s">
        <v>424</v>
      </c>
      <c r="O61" s="4"/>
    </row>
    <row r="62" customFormat="false" ht="15" hidden="false" customHeight="false" outlineLevel="0" collapsed="false">
      <c r="A62" s="15" t="s">
        <v>258</v>
      </c>
      <c r="B62" s="4" t="s">
        <v>259</v>
      </c>
      <c r="C62" s="4" t="s">
        <v>260</v>
      </c>
      <c r="D62" s="4" t="s">
        <v>15</v>
      </c>
      <c r="E62" s="4" t="s">
        <v>15</v>
      </c>
      <c r="F62" s="4" t="s">
        <v>42</v>
      </c>
      <c r="G62" s="6" t="n">
        <v>36436.2</v>
      </c>
      <c r="H62" s="6" t="n">
        <v>31313.45</v>
      </c>
      <c r="I62" s="6" t="n">
        <v>3526</v>
      </c>
      <c r="J62" s="6" t="n">
        <v>-5336.37</v>
      </c>
      <c r="K62" s="6" t="n">
        <v>3131.35</v>
      </c>
      <c r="L62" s="6" t="n">
        <v>-181.03</v>
      </c>
      <c r="M62" s="6" t="n">
        <v>3131.35</v>
      </c>
      <c r="N62" s="30" t="s">
        <v>424</v>
      </c>
      <c r="O62" s="4"/>
    </row>
    <row r="63" customFormat="false" ht="15" hidden="false" customHeight="false" outlineLevel="0" collapsed="false">
      <c r="A63" s="15" t="s">
        <v>255</v>
      </c>
      <c r="B63" s="4" t="s">
        <v>256</v>
      </c>
      <c r="C63" s="4" t="s">
        <v>257</v>
      </c>
      <c r="D63" s="4" t="s">
        <v>449</v>
      </c>
      <c r="E63" s="4" t="s">
        <v>450</v>
      </c>
      <c r="F63" s="4" t="s">
        <v>48</v>
      </c>
      <c r="G63" s="6" t="n">
        <v>29420.2</v>
      </c>
      <c r="H63" s="6" t="n">
        <v>27080.82</v>
      </c>
      <c r="I63" s="6" t="n">
        <v>336.09</v>
      </c>
      <c r="J63" s="6" t="n">
        <v>0</v>
      </c>
      <c r="K63" s="6" t="n">
        <v>2708.08</v>
      </c>
      <c r="L63" s="6" t="n">
        <v>33.52</v>
      </c>
      <c r="M63" s="6" t="n">
        <v>2708.07</v>
      </c>
      <c r="N63" s="30" t="s">
        <v>424</v>
      </c>
      <c r="O63" s="4"/>
    </row>
    <row r="64" customFormat="false" ht="15" hidden="false" customHeight="false" outlineLevel="0" collapsed="false">
      <c r="A64" s="15" t="s">
        <v>252</v>
      </c>
      <c r="B64" s="4" t="s">
        <v>253</v>
      </c>
      <c r="C64" s="4" t="s">
        <v>254</v>
      </c>
      <c r="D64" s="4" t="s">
        <v>434</v>
      </c>
      <c r="E64" s="4" t="s">
        <v>15</v>
      </c>
      <c r="F64" s="4" t="s">
        <v>42</v>
      </c>
      <c r="G64" s="6" t="n">
        <v>12877.6</v>
      </c>
      <c r="H64" s="6" t="n">
        <v>11878.18</v>
      </c>
      <c r="I64" s="6" t="n">
        <v>171.27</v>
      </c>
      <c r="J64" s="6" t="n">
        <v>0</v>
      </c>
      <c r="K64" s="6" t="n">
        <v>1100</v>
      </c>
      <c r="L64" s="6" t="n">
        <v>-70.69</v>
      </c>
      <c r="M64" s="6" t="n">
        <v>1100</v>
      </c>
      <c r="N64" s="30" t="s">
        <v>424</v>
      </c>
      <c r="O64" s="4"/>
    </row>
    <row r="65" customFormat="false" ht="15" hidden="false" customHeight="false" outlineLevel="0" collapsed="false">
      <c r="A65" s="15" t="s">
        <v>249</v>
      </c>
      <c r="B65" s="4" t="s">
        <v>250</v>
      </c>
      <c r="C65" s="4" t="s">
        <v>251</v>
      </c>
      <c r="D65" s="4" t="s">
        <v>434</v>
      </c>
      <c r="E65" s="4" t="s">
        <v>15</v>
      </c>
      <c r="F65" s="4" t="s">
        <v>42</v>
      </c>
      <c r="G65" s="6" t="n">
        <v>21878</v>
      </c>
      <c r="H65" s="6" t="n">
        <v>20759.54</v>
      </c>
      <c r="I65" s="6" t="n">
        <v>1400.45</v>
      </c>
      <c r="J65" s="6" t="n">
        <v>0</v>
      </c>
      <c r="K65" s="6" t="n">
        <v>2225</v>
      </c>
      <c r="L65" s="6" t="n">
        <v>236.09</v>
      </c>
      <c r="M65" s="6" t="n">
        <v>2225</v>
      </c>
      <c r="N65" s="30" t="s">
        <v>424</v>
      </c>
      <c r="O65" s="4"/>
    </row>
    <row r="66" customFormat="false" ht="15" hidden="false" customHeight="false" outlineLevel="0" collapsed="false">
      <c r="A66" s="15" t="s">
        <v>246</v>
      </c>
      <c r="B66" s="4" t="s">
        <v>247</v>
      </c>
      <c r="C66" s="4" t="s">
        <v>248</v>
      </c>
      <c r="D66" s="4" t="s">
        <v>15</v>
      </c>
      <c r="E66" s="4" t="s">
        <v>15</v>
      </c>
      <c r="F66" s="4" t="s">
        <v>42</v>
      </c>
      <c r="G66" s="6" t="n">
        <v>15218</v>
      </c>
      <c r="H66" s="6" t="n">
        <v>13670.91</v>
      </c>
      <c r="I66" s="6" t="n">
        <v>-647.27</v>
      </c>
      <c r="J66" s="6" t="n">
        <v>0</v>
      </c>
      <c r="K66" s="6" t="n">
        <v>1367.09</v>
      </c>
      <c r="L66" s="6" t="n">
        <v>-16.36</v>
      </c>
      <c r="M66" s="6" t="n">
        <v>1367.09</v>
      </c>
      <c r="N66" s="30" t="s">
        <v>424</v>
      </c>
      <c r="O66" s="4"/>
    </row>
    <row r="67" customFormat="false" ht="15" hidden="false" customHeight="false" outlineLevel="0" collapsed="false">
      <c r="A67" s="15" t="s">
        <v>243</v>
      </c>
      <c r="B67" s="4" t="s">
        <v>244</v>
      </c>
      <c r="C67" s="4" t="s">
        <v>245</v>
      </c>
      <c r="D67" s="4" t="s">
        <v>434</v>
      </c>
      <c r="E67" s="4" t="s">
        <v>15</v>
      </c>
      <c r="F67" s="4" t="s">
        <v>42</v>
      </c>
      <c r="G67" s="6" t="n">
        <v>5000</v>
      </c>
      <c r="H67" s="6" t="n">
        <v>5250</v>
      </c>
      <c r="I67" s="6" t="n">
        <v>0</v>
      </c>
      <c r="J67" s="6" t="n">
        <v>0</v>
      </c>
      <c r="K67" s="6" t="n">
        <v>1000</v>
      </c>
      <c r="L67" s="6" t="n">
        <v>545.45</v>
      </c>
      <c r="M67" s="6" t="n">
        <v>1000</v>
      </c>
      <c r="N67" s="30" t="s">
        <v>424</v>
      </c>
      <c r="O67" s="4"/>
    </row>
    <row r="68" customFormat="false" ht="15" hidden="false" customHeight="false" outlineLevel="0" collapsed="false">
      <c r="A68" s="15" t="s">
        <v>240</v>
      </c>
      <c r="B68" s="4" t="s">
        <v>241</v>
      </c>
      <c r="C68" s="4" t="s">
        <v>242</v>
      </c>
      <c r="D68" s="4" t="s">
        <v>15</v>
      </c>
      <c r="E68" s="4" t="s">
        <v>15</v>
      </c>
      <c r="F68" s="4" t="s">
        <v>42</v>
      </c>
      <c r="G68" s="6" t="n">
        <v>15535.6</v>
      </c>
      <c r="H68" s="6" t="n">
        <v>14478.36</v>
      </c>
      <c r="I68" s="6" t="n">
        <v>355.09</v>
      </c>
      <c r="J68" s="6" t="n">
        <v>0</v>
      </c>
      <c r="K68" s="6" t="n">
        <v>1447.84</v>
      </c>
      <c r="L68" s="6" t="n">
        <v>35.51</v>
      </c>
      <c r="M68" s="6" t="n">
        <v>1447.84</v>
      </c>
      <c r="N68" s="30" t="s">
        <v>424</v>
      </c>
      <c r="O68" s="4"/>
    </row>
    <row r="69" customFormat="false" ht="15" hidden="false" customHeight="false" outlineLevel="0" collapsed="false">
      <c r="A69" s="15" t="s">
        <v>237</v>
      </c>
      <c r="B69" s="4" t="s">
        <v>238</v>
      </c>
      <c r="C69" s="4" t="s">
        <v>239</v>
      </c>
      <c r="D69" s="4" t="s">
        <v>449</v>
      </c>
      <c r="E69" s="4" t="s">
        <v>450</v>
      </c>
      <c r="F69" s="4" t="s">
        <v>48</v>
      </c>
      <c r="G69" s="6" t="n">
        <v>22201</v>
      </c>
      <c r="H69" s="6" t="n">
        <v>20050.91</v>
      </c>
      <c r="I69" s="6" t="n">
        <v>-122.73</v>
      </c>
      <c r="J69" s="6" t="n">
        <v>0</v>
      </c>
      <c r="K69" s="6" t="n">
        <v>2005.09</v>
      </c>
      <c r="L69" s="6" t="n">
        <v>-13.18</v>
      </c>
      <c r="M69" s="6" t="n">
        <v>2005.08</v>
      </c>
      <c r="N69" s="30" t="s">
        <v>424</v>
      </c>
      <c r="O69" s="4"/>
    </row>
    <row r="70" customFormat="false" ht="15" hidden="false" customHeight="false" outlineLevel="0" collapsed="false">
      <c r="A70" s="15" t="s">
        <v>232</v>
      </c>
      <c r="B70" s="4" t="s">
        <v>233</v>
      </c>
      <c r="C70" s="4" t="s">
        <v>234</v>
      </c>
      <c r="D70" s="4" t="s">
        <v>15</v>
      </c>
      <c r="E70" s="4" t="s">
        <v>15</v>
      </c>
      <c r="F70" s="4" t="s">
        <v>42</v>
      </c>
      <c r="G70" s="6" t="n">
        <v>13527.6</v>
      </c>
      <c r="H70" s="6" t="n">
        <v>12469.09</v>
      </c>
      <c r="I70" s="6" t="n">
        <v>171.27</v>
      </c>
      <c r="J70" s="6" t="n">
        <v>0</v>
      </c>
      <c r="K70" s="6" t="n">
        <v>1246.91</v>
      </c>
      <c r="L70" s="6" t="n">
        <v>17.13</v>
      </c>
      <c r="M70" s="6" t="n">
        <v>1246.91</v>
      </c>
      <c r="N70" s="30" t="s">
        <v>424</v>
      </c>
      <c r="O70" s="4"/>
    </row>
    <row r="71" customFormat="false" ht="15" hidden="false" customHeight="false" outlineLevel="0" collapsed="false">
      <c r="A71" s="15" t="s">
        <v>235</v>
      </c>
      <c r="B71" s="4" t="s">
        <v>236</v>
      </c>
      <c r="C71" s="4" t="s">
        <v>234</v>
      </c>
      <c r="D71" s="4" t="s">
        <v>15</v>
      </c>
      <c r="E71" s="4" t="s">
        <v>15</v>
      </c>
      <c r="F71" s="4" t="s">
        <v>42</v>
      </c>
      <c r="G71" s="6" t="n">
        <v>10729</v>
      </c>
      <c r="H71" s="6" t="n">
        <v>9018.18</v>
      </c>
      <c r="I71" s="6" t="n">
        <v>-81.82</v>
      </c>
      <c r="J71" s="6" t="n">
        <v>0</v>
      </c>
      <c r="K71" s="6" t="n">
        <v>901.82</v>
      </c>
      <c r="L71" s="6" t="n">
        <v>-73.54</v>
      </c>
      <c r="M71" s="6" t="n">
        <v>901.82</v>
      </c>
      <c r="N71" s="30" t="s">
        <v>424</v>
      </c>
      <c r="O71" s="4"/>
    </row>
    <row r="72" customFormat="false" ht="15" hidden="false" customHeight="false" outlineLevel="0" collapsed="false">
      <c r="A72" s="15" t="s">
        <v>229</v>
      </c>
      <c r="B72" s="4" t="s">
        <v>230</v>
      </c>
      <c r="C72" s="4" t="s">
        <v>231</v>
      </c>
      <c r="D72" s="4" t="s">
        <v>449</v>
      </c>
      <c r="E72" s="4" t="s">
        <v>450</v>
      </c>
      <c r="F72" s="4" t="s">
        <v>48</v>
      </c>
      <c r="G72" s="6" t="n">
        <v>17583</v>
      </c>
      <c r="H72" s="6" t="n">
        <v>15902.73</v>
      </c>
      <c r="I72" s="6" t="n">
        <v>-81.82</v>
      </c>
      <c r="J72" s="6" t="n">
        <v>0</v>
      </c>
      <c r="K72" s="6" t="n">
        <v>1590.27</v>
      </c>
      <c r="L72" s="6" t="n">
        <v>-8.18</v>
      </c>
      <c r="M72" s="6" t="n">
        <v>1590.27</v>
      </c>
      <c r="N72" s="30" t="s">
        <v>424</v>
      </c>
      <c r="O72" s="4"/>
    </row>
    <row r="73" customFormat="false" ht="15" hidden="false" customHeight="false" outlineLevel="0" collapsed="false">
      <c r="A73" s="15" t="s">
        <v>224</v>
      </c>
      <c r="B73" s="4" t="s">
        <v>225</v>
      </c>
      <c r="C73" s="4" t="s">
        <v>226</v>
      </c>
      <c r="D73" s="4" t="s">
        <v>15</v>
      </c>
      <c r="E73" s="4" t="s">
        <v>15</v>
      </c>
      <c r="F73" s="4" t="s">
        <v>42</v>
      </c>
      <c r="G73" s="6" t="n">
        <v>5000</v>
      </c>
      <c r="H73" s="6" t="n">
        <v>2722.73</v>
      </c>
      <c r="I73" s="6" t="n">
        <v>0</v>
      </c>
      <c r="J73" s="6" t="n">
        <v>0</v>
      </c>
      <c r="K73" s="6" t="n">
        <v>272.27</v>
      </c>
      <c r="L73" s="6" t="n">
        <v>-182.28</v>
      </c>
      <c r="M73" s="6" t="n">
        <v>272.27</v>
      </c>
      <c r="N73" s="30" t="s">
        <v>424</v>
      </c>
      <c r="O73" s="4"/>
    </row>
    <row r="74" customFormat="false" ht="15" hidden="false" customHeight="false" outlineLevel="0" collapsed="false">
      <c r="A74" s="15" t="s">
        <v>227</v>
      </c>
      <c r="B74" s="4" t="s">
        <v>228</v>
      </c>
      <c r="C74" s="4" t="s">
        <v>226</v>
      </c>
      <c r="D74" s="4" t="s">
        <v>448</v>
      </c>
      <c r="E74" s="4" t="s">
        <v>15</v>
      </c>
      <c r="F74" s="4" t="s">
        <v>42</v>
      </c>
      <c r="G74" s="6" t="n">
        <v>4000</v>
      </c>
      <c r="H74" s="6" t="n">
        <v>3631.82</v>
      </c>
      <c r="I74" s="6" t="n">
        <v>0</v>
      </c>
      <c r="J74" s="6" t="n">
        <v>0</v>
      </c>
      <c r="K74" s="6" t="n">
        <v>350</v>
      </c>
      <c r="L74" s="6" t="n">
        <v>-13.64</v>
      </c>
      <c r="M74" s="6" t="n">
        <v>350</v>
      </c>
      <c r="N74" s="30" t="s">
        <v>424</v>
      </c>
      <c r="O74" s="4"/>
    </row>
    <row r="75" customFormat="false" ht="15" hidden="false" customHeight="false" outlineLevel="0" collapsed="false">
      <c r="A75" s="15" t="s">
        <v>221</v>
      </c>
      <c r="B75" s="4" t="s">
        <v>222</v>
      </c>
      <c r="C75" s="4" t="s">
        <v>223</v>
      </c>
      <c r="D75" s="4" t="s">
        <v>15</v>
      </c>
      <c r="E75" s="4" t="s">
        <v>15</v>
      </c>
      <c r="F75" s="4" t="s">
        <v>42</v>
      </c>
      <c r="G75" s="6" t="n">
        <v>5250</v>
      </c>
      <c r="H75" s="6" t="n">
        <v>4699</v>
      </c>
      <c r="I75" s="6" t="n">
        <v>0</v>
      </c>
      <c r="J75" s="6" t="n">
        <v>0</v>
      </c>
      <c r="K75" s="6" t="n">
        <v>469.9</v>
      </c>
      <c r="L75" s="6" t="n">
        <v>-7.37</v>
      </c>
      <c r="M75" s="6" t="n">
        <v>469.9</v>
      </c>
      <c r="N75" s="30" t="s">
        <v>424</v>
      </c>
      <c r="O75" s="4"/>
    </row>
    <row r="76" customFormat="false" ht="15" hidden="false" customHeight="false" outlineLevel="0" collapsed="false">
      <c r="A76" s="15" t="s">
        <v>218</v>
      </c>
      <c r="B76" s="4" t="s">
        <v>219</v>
      </c>
      <c r="C76" s="4" t="s">
        <v>220</v>
      </c>
      <c r="D76" s="4" t="s">
        <v>15</v>
      </c>
      <c r="E76" s="4" t="s">
        <v>15</v>
      </c>
      <c r="F76" s="4" t="s">
        <v>42</v>
      </c>
      <c r="G76" s="6" t="n">
        <v>10000</v>
      </c>
      <c r="H76" s="6" t="n">
        <v>9995</v>
      </c>
      <c r="I76" s="6" t="n">
        <v>0</v>
      </c>
      <c r="J76" s="6" t="n">
        <v>0</v>
      </c>
      <c r="K76" s="6" t="n">
        <v>999.5</v>
      </c>
      <c r="L76" s="6" t="n">
        <v>90.41</v>
      </c>
      <c r="M76" s="6" t="n">
        <v>999.5</v>
      </c>
      <c r="N76" s="30" t="s">
        <v>424</v>
      </c>
      <c r="O76" s="4"/>
    </row>
    <row r="77" customFormat="false" ht="15" hidden="false" customHeight="false" outlineLevel="0" collapsed="false">
      <c r="A77" s="15" t="s">
        <v>215</v>
      </c>
      <c r="B77" s="4" t="s">
        <v>216</v>
      </c>
      <c r="C77" s="4" t="s">
        <v>217</v>
      </c>
      <c r="D77" s="4" t="s">
        <v>15</v>
      </c>
      <c r="E77" s="4" t="s">
        <v>15</v>
      </c>
      <c r="F77" s="4" t="s">
        <v>42</v>
      </c>
      <c r="G77" s="6" t="n">
        <v>150</v>
      </c>
      <c r="H77" s="6" t="n">
        <v>136.36</v>
      </c>
      <c r="I77" s="6" t="n">
        <v>0</v>
      </c>
      <c r="J77" s="6" t="n">
        <v>0</v>
      </c>
      <c r="K77" s="6" t="n">
        <v>13.64</v>
      </c>
      <c r="L77" s="6" t="n">
        <v>0</v>
      </c>
      <c r="M77" s="6" t="n">
        <v>13.64</v>
      </c>
      <c r="N77" s="30" t="s">
        <v>424</v>
      </c>
      <c r="O77" s="4"/>
    </row>
    <row r="78" customFormat="false" ht="15" hidden="false" customHeight="false" outlineLevel="0" collapsed="false">
      <c r="A78" s="15" t="s">
        <v>212</v>
      </c>
      <c r="B78" s="4" t="s">
        <v>213</v>
      </c>
      <c r="C78" s="4" t="s">
        <v>214</v>
      </c>
      <c r="D78" s="4" t="s">
        <v>15</v>
      </c>
      <c r="E78" s="4" t="s">
        <v>15</v>
      </c>
      <c r="F78" s="4" t="s">
        <v>42</v>
      </c>
      <c r="G78" s="6" t="n">
        <v>20000</v>
      </c>
      <c r="H78" s="6" t="n">
        <v>17727.27</v>
      </c>
      <c r="I78" s="6" t="n">
        <v>0</v>
      </c>
      <c r="J78" s="6" t="n">
        <v>0</v>
      </c>
      <c r="K78" s="6" t="n">
        <v>1772.73</v>
      </c>
      <c r="L78" s="6" t="n">
        <v>-45.45</v>
      </c>
      <c r="M78" s="6" t="n">
        <v>1772.73</v>
      </c>
      <c r="N78" s="30" t="s">
        <v>424</v>
      </c>
      <c r="O78" s="4"/>
    </row>
    <row r="79" customFormat="false" ht="15" hidden="false" customHeight="false" outlineLevel="0" collapsed="false">
      <c r="A79" s="15" t="s">
        <v>209</v>
      </c>
      <c r="B79" s="4" t="s">
        <v>210</v>
      </c>
      <c r="C79" s="4" t="s">
        <v>211</v>
      </c>
      <c r="D79" s="4" t="s">
        <v>15</v>
      </c>
      <c r="E79" s="4" t="s">
        <v>15</v>
      </c>
      <c r="F79" s="4" t="s">
        <v>42</v>
      </c>
      <c r="G79" s="6" t="n">
        <v>5000</v>
      </c>
      <c r="H79" s="6" t="n">
        <v>2722.73</v>
      </c>
      <c r="I79" s="6" t="n">
        <v>0</v>
      </c>
      <c r="J79" s="6" t="n">
        <v>0</v>
      </c>
      <c r="K79" s="6" t="n">
        <v>272.27</v>
      </c>
      <c r="L79" s="6" t="n">
        <v>-182.28</v>
      </c>
      <c r="M79" s="6" t="n">
        <v>272.27</v>
      </c>
      <c r="N79" s="30" t="s">
        <v>424</v>
      </c>
      <c r="O79" s="4"/>
    </row>
    <row r="80" customFormat="false" ht="15" hidden="false" customHeight="false" outlineLevel="0" collapsed="false">
      <c r="A80" s="15" t="s">
        <v>206</v>
      </c>
      <c r="B80" s="4" t="s">
        <v>207</v>
      </c>
      <c r="C80" s="4" t="s">
        <v>208</v>
      </c>
      <c r="D80" s="4" t="s">
        <v>15</v>
      </c>
      <c r="E80" s="4" t="s">
        <v>15</v>
      </c>
      <c r="F80" s="4" t="s">
        <v>42</v>
      </c>
      <c r="G80" s="6" t="n">
        <v>5500</v>
      </c>
      <c r="H80" s="6" t="n">
        <v>4086.36</v>
      </c>
      <c r="I80" s="6" t="n">
        <v>0</v>
      </c>
      <c r="J80" s="6" t="n">
        <v>0</v>
      </c>
      <c r="K80" s="6" t="n">
        <v>408.64</v>
      </c>
      <c r="L80" s="6" t="n">
        <v>-91.36</v>
      </c>
      <c r="M80" s="6" t="n">
        <v>408.64</v>
      </c>
      <c r="N80" s="30" t="s">
        <v>424</v>
      </c>
      <c r="O80" s="4"/>
    </row>
    <row r="81" customFormat="false" ht="15" hidden="false" customHeight="false" outlineLevel="0" collapsed="false">
      <c r="A81" s="7" t="s">
        <v>120</v>
      </c>
      <c r="B81" s="7"/>
      <c r="C81" s="7"/>
      <c r="D81" s="7"/>
      <c r="E81" s="7"/>
      <c r="F81" s="7"/>
      <c r="G81" s="8" t="n">
        <f aca="false">SUM(G6:G80)</f>
        <v>1896283.1</v>
      </c>
      <c r="H81" s="8" t="n">
        <f aca="false">SUM(H6:H80)</f>
        <v>1628091.74</v>
      </c>
      <c r="I81" s="8" t="n">
        <f aca="false">SUM(I6:I80)</f>
        <v>-10023.87</v>
      </c>
      <c r="J81" s="8" t="n">
        <f aca="false">SUM(J6:J80)</f>
        <v>-110608.85</v>
      </c>
      <c r="K81" s="8" t="n">
        <f aca="false">SUM(K6:K80)</f>
        <v>157452.59</v>
      </c>
      <c r="L81" s="8"/>
      <c r="M81" s="8" t="n">
        <f aca="false">SUM(M6:M80)</f>
        <v>154077.23</v>
      </c>
      <c r="N81" s="7"/>
      <c r="O81" s="7"/>
    </row>
    <row r="83" customFormat="false" ht="15" hidden="false" customHeight="false" outlineLevel="0" collapsed="false">
      <c r="A83" s="20" t="s">
        <v>451</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452</v>
      </c>
      <c r="B1" s="1"/>
    </row>
    <row r="2" customFormat="false" ht="15" hidden="false" customHeight="false" outlineLevel="0" collapsed="false">
      <c r="A2" s="2" t="s">
        <v>453</v>
      </c>
      <c r="B2" s="2"/>
    </row>
    <row r="4" customFormat="false" ht="27.75" hidden="false" customHeight="true" outlineLevel="0" collapsed="false">
      <c r="A4" s="33" t="s">
        <v>454</v>
      </c>
      <c r="B4" s="34" t="s">
        <v>455</v>
      </c>
    </row>
    <row r="5" customFormat="false" ht="39" hidden="false" customHeight="true" outlineLevel="0" collapsed="false">
      <c r="A5" s="33" t="s">
        <v>456</v>
      </c>
      <c r="B5" s="34" t="s">
        <v>457</v>
      </c>
    </row>
    <row r="6" customFormat="false" ht="27.75" hidden="false" customHeight="true" outlineLevel="0" collapsed="false">
      <c r="A6" s="33" t="s">
        <v>458</v>
      </c>
      <c r="B6" s="34" t="s">
        <v>21</v>
      </c>
    </row>
    <row r="7" customFormat="false" ht="27.75" hidden="false" customHeight="true" outlineLevel="0" collapsed="false">
      <c r="A7" s="33" t="s">
        <v>12</v>
      </c>
      <c r="B7" s="34" t="s">
        <v>459</v>
      </c>
    </row>
    <row r="8" customFormat="false" ht="39" hidden="false" customHeight="true" outlineLevel="0" collapsed="false">
      <c r="A8" s="33" t="s">
        <v>14</v>
      </c>
      <c r="B8" s="34" t="s">
        <v>460</v>
      </c>
    </row>
    <row r="9" customFormat="false" ht="27.75" hidden="false" customHeight="true" outlineLevel="0" collapsed="false">
      <c r="A9" s="33" t="s">
        <v>18</v>
      </c>
      <c r="B9" s="34" t="s">
        <v>461</v>
      </c>
    </row>
    <row r="10" customFormat="false" ht="27.75" hidden="false" customHeight="true" outlineLevel="0" collapsed="false">
      <c r="A10" s="33" t="s">
        <v>15</v>
      </c>
      <c r="B10" s="34" t="s">
        <v>462</v>
      </c>
    </row>
    <row r="11" customFormat="false" ht="39" hidden="false" customHeight="true" outlineLevel="0" collapsed="false">
      <c r="A11" s="33" t="s">
        <v>16</v>
      </c>
      <c r="B11" s="34" t="s">
        <v>463</v>
      </c>
    </row>
    <row r="12" customFormat="false" ht="39" hidden="false" customHeight="true" outlineLevel="0" collapsed="false">
      <c r="A12" s="33" t="s">
        <v>464</v>
      </c>
      <c r="B12" s="34" t="s">
        <v>465</v>
      </c>
    </row>
    <row r="13" customFormat="false" ht="51.75" hidden="false" customHeight="true" outlineLevel="0" collapsed="false">
      <c r="A13" s="33" t="s">
        <v>466</v>
      </c>
      <c r="B13" s="34" t="s">
        <v>467</v>
      </c>
    </row>
    <row r="14" customFormat="false" ht="27.75" hidden="false" customHeight="true" outlineLevel="0" collapsed="false">
      <c r="A14" s="33" t="s">
        <v>468</v>
      </c>
      <c r="B14" s="34" t="s">
        <v>22</v>
      </c>
    </row>
    <row r="15" customFormat="false" ht="27.75" hidden="false" customHeight="true" outlineLevel="0" collapsed="false">
      <c r="A15" s="33" t="s">
        <v>469</v>
      </c>
      <c r="B15" s="34" t="s">
        <v>470</v>
      </c>
    </row>
    <row r="16" customFormat="false" ht="27.75" hidden="false" customHeight="true" outlineLevel="0" collapsed="false">
      <c r="A16" s="33" t="s">
        <v>471</v>
      </c>
      <c r="B16" s="34" t="s">
        <v>472</v>
      </c>
    </row>
    <row r="17" customFormat="false" ht="39" hidden="false" customHeight="true" outlineLevel="0" collapsed="false">
      <c r="A17" s="33" t="s">
        <v>473</v>
      </c>
      <c r="B17" s="34" t="s">
        <v>474</v>
      </c>
    </row>
    <row r="18" customFormat="false" ht="27.75" hidden="false" customHeight="true" outlineLevel="0" collapsed="false">
      <c r="A18" s="33" t="s">
        <v>134</v>
      </c>
      <c r="B18" s="34" t="s">
        <v>475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2026-09-01T02:43:23Z</dcterms:created>
  <dc:creator>openpyxl</dc:creator>
  <dc:description/>
  <dc:language>en-US</dc:language>
  <cp:lastModifiedBy/>
  <dcterms:modified xsi:type="dcterms:W3CDTF">2026-09-01T02:43:23Z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