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📊 Dashboard" sheetId="1" state="visible" r:id="rId1"/>
    <sheet name="🔮 Pipeline" sheetId="2" state="visible" r:id="rId2"/>
    <sheet name="💰 Retainer Log" sheetId="3" state="visible" r:id="rId3"/>
    <sheet name="🧾 Reconciliation" sheetId="4" state="visible" r:id="rId4"/>
    <sheet name="📜 Installed Deals Log" sheetId="5" state="visible" r:id="rId5"/>
    <sheet name="📋 READ ME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;&quot;($&quot;#,##0.00\);\-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4A1513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onsolas"/>
      <charset val="1"/>
      <family val="0"/>
      <color rgb="FF0F7A75"/>
      <sz val="10"/>
    </font>
    <font>
      <name val="Arial"/>
      <charset val="1"/>
      <family val="0"/>
      <color rgb="FF1F5B7A"/>
      <sz val="10"/>
    </font>
  </fonts>
  <fills count="5">
    <fill>
      <patternFill/>
    </fill>
    <fill>
      <patternFill patternType="gray125"/>
    </fill>
    <fill>
      <patternFill patternType="solid">
        <fgColor rgb="FF4A1513"/>
        <bgColor rgb="FF333333"/>
      </patternFill>
    </fill>
    <fill>
      <patternFill patternType="solid">
        <fgColor rgb="FFF1F5F9"/>
        <bgColor rgb="FFFFFFFF"/>
      </patternFill>
    </fill>
    <fill>
      <patternFill patternType="solid">
        <fgColor rgb="FFF3ECD8"/>
        <bgColor rgb="FFF1F5F9"/>
      </patternFill>
    </fill>
  </fills>
  <borders count="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A75"/>
      <rgbColor rgb="FFC0C0C0"/>
      <rgbColor rgb="FF808080"/>
      <rgbColor rgb="FF9999FF"/>
      <rgbColor rgb="FF993366"/>
      <rgbColor rgb="FFF3ECD8"/>
      <rgbColor rgb="FFF1F5F9"/>
      <rgbColor rgb="FF660066"/>
      <rgbColor rgb="FFFF8080"/>
      <rgbColor rgb="FF1F5B7A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A1513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24" min="1" max="1"/>
    <col width="17" customWidth="1" style="24" min="2" max="2"/>
    <col width="13" customWidth="1" style="24" min="3" max="3"/>
    <col width="19" customWidth="1" style="24" min="4" max="4"/>
    <col width="13" customWidth="1" style="24" min="5" max="5"/>
    <col width="14" customWidth="1" style="24" min="6" max="6"/>
    <col width="15" customWidth="1" style="24" min="7" max="7"/>
    <col width="14" customWidth="1" style="24" min="8" max="9"/>
    <col width="17" customWidth="1" style="24" min="10" max="10"/>
  </cols>
  <sheetData>
    <row r="1" ht="17.35" customHeight="1" s="25">
      <c r="A1" s="26" t="inlineStr">
        <is>
          <t>Team position</t>
        </is>
      </c>
    </row>
    <row r="2" ht="15" customHeight="1" s="25">
      <c r="A2" s="27" t="inlineStr">
        <is>
          <t>HubSpot pull 09/09/26 · reset baseline 20/07/26 · ad spend to 03/09/26</t>
        </is>
      </c>
    </row>
    <row r="4" ht="30" customHeight="1" s="25">
      <c r="A4" s="28" t="inlineStr">
        <is>
          <t>Name</t>
        </is>
      </c>
      <c r="B4" s="28" t="inlineStr">
        <is>
          <t>Type</t>
        </is>
      </c>
      <c r="C4" s="28" t="inlineStr">
        <is>
          <t>Start</t>
        </is>
      </c>
      <c r="D4" s="28" t="inlineStr">
        <is>
          <t>Retainer + Ad Spend</t>
        </is>
      </c>
      <c r="E4" s="28" t="inlineStr">
        <is>
          <t>Earned</t>
        </is>
      </c>
      <c r="F4" s="28" t="inlineStr">
        <is>
          <t>Current</t>
        </is>
      </c>
      <c r="G4" s="28" t="inlineStr">
        <is>
          <t>Status</t>
        </is>
      </c>
      <c r="H4" s="28" t="inlineStr">
        <is>
          <t>Pending</t>
        </is>
      </c>
      <c r="I4" s="28" t="inlineStr">
        <is>
          <t>Projected</t>
        </is>
      </c>
      <c r="J4" s="28" t="inlineStr">
        <is>
          <t>Status Projected</t>
        </is>
      </c>
    </row>
    <row r="5" ht="15" customHeight="1" s="25">
      <c r="A5" s="29" t="inlineStr">
        <is>
          <t>Denzel Winterbeard</t>
        </is>
      </c>
      <c r="B5" s="30" t="inlineStr">
        <is>
          <t>FTE (Salaried)</t>
        </is>
      </c>
      <c r="C5" s="31" t="n">
        <v>-4789.06</v>
      </c>
      <c r="D5" s="31" t="n">
        <v>10000</v>
      </c>
      <c r="E5" s="31" t="n">
        <v>765.53</v>
      </c>
      <c r="F5" s="32">
        <f>C5+E5-D5</f>
        <v/>
      </c>
      <c r="G5" s="33">
        <f>IF(F5&gt;=0,"AMPRA OWES","TO EARN BACK")</f>
        <v/>
      </c>
      <c r="H5" s="31" t="n">
        <v>20428.19</v>
      </c>
      <c r="I5" s="32">
        <f>C5+E5+H5-D5</f>
        <v/>
      </c>
      <c r="J5" s="33">
        <f>IF(I5&gt;=0,"AMPRA OWES","TO EARN BACK")</f>
        <v/>
      </c>
    </row>
    <row r="6" ht="15" customHeight="1" s="25">
      <c r="A6" s="29" t="inlineStr">
        <is>
          <t>Hugo</t>
        </is>
      </c>
      <c r="B6" s="30" t="inlineStr">
        <is>
          <t>FTE (Salaried)</t>
        </is>
      </c>
      <c r="C6" s="31" t="n">
        <v>-7730.41</v>
      </c>
      <c r="D6" s="31" t="n">
        <v>3250</v>
      </c>
      <c r="E6" s="31" t="n">
        <v>3715.37</v>
      </c>
      <c r="F6" s="32">
        <f>C6+E6-D6</f>
        <v/>
      </c>
      <c r="G6" s="33">
        <f>IF(F6&gt;=0,"AMPRA OWES","TO EARN BACK")</f>
        <v/>
      </c>
      <c r="H6" s="31" t="n">
        <v>10414.6</v>
      </c>
      <c r="I6" s="32">
        <f>C6+E6+H6-D6</f>
        <v/>
      </c>
      <c r="J6" s="33">
        <f>IF(I6&gt;=0,"AMPRA OWES","TO EARN BACK")</f>
        <v/>
      </c>
    </row>
    <row r="7" ht="15" customHeight="1" s="25">
      <c r="A7" s="29" t="inlineStr">
        <is>
          <t>Joe</t>
        </is>
      </c>
      <c r="B7" s="30" t="inlineStr">
        <is>
          <t>FTE (Salaried)</t>
        </is>
      </c>
      <c r="C7" s="31" t="n">
        <v>0</v>
      </c>
      <c r="D7" s="31" t="n">
        <v>0</v>
      </c>
      <c r="E7" s="31" t="n">
        <v>693.11</v>
      </c>
      <c r="F7" s="32">
        <f>C7+E7-D7</f>
        <v/>
      </c>
      <c r="G7" s="33">
        <f>IF(F7&gt;=0,"AMPRA OWES","TO EARN BACK")</f>
        <v/>
      </c>
      <c r="H7" s="31" t="n">
        <v>13848.18</v>
      </c>
      <c r="I7" s="32">
        <f>C7+E7+H7-D7</f>
        <v/>
      </c>
      <c r="J7" s="33">
        <f>IF(I7&gt;=0,"AMPRA OWES","TO EARN BACK")</f>
        <v/>
      </c>
    </row>
    <row r="8" ht="15" customHeight="1" s="25">
      <c r="A8" s="29" t="inlineStr">
        <is>
          <t>Holly</t>
        </is>
      </c>
      <c r="B8" s="30" t="inlineStr">
        <is>
          <t>Contractor</t>
        </is>
      </c>
      <c r="C8" s="31" t="n">
        <v>0</v>
      </c>
      <c r="D8" s="31" t="n">
        <v>6200.89</v>
      </c>
      <c r="E8" s="31" t="n">
        <v>903.78</v>
      </c>
      <c r="F8" s="32">
        <f>C8+E8-D8</f>
        <v/>
      </c>
      <c r="G8" s="33">
        <f>IF(F8&gt;=0,"AMPRA OWES","TO EARN BACK")</f>
        <v/>
      </c>
      <c r="H8" s="31" t="n">
        <v>2543.46</v>
      </c>
      <c r="I8" s="32">
        <f>C8+E8+H8-D8</f>
        <v/>
      </c>
      <c r="J8" s="33">
        <f>IF(I8&gt;=0,"AMPRA OWES","TO EARN BACK")</f>
        <v/>
      </c>
    </row>
    <row r="9" ht="15" customHeight="1" s="25">
      <c r="A9" s="29" t="inlineStr">
        <is>
          <t>Ollie</t>
        </is>
      </c>
      <c r="B9" s="30" t="inlineStr">
        <is>
          <t>FTE (Salaried)</t>
        </is>
      </c>
      <c r="C9" s="31" t="n">
        <v>0</v>
      </c>
      <c r="D9" s="31" t="n">
        <v>0</v>
      </c>
      <c r="E9" s="31" t="n">
        <v>0</v>
      </c>
      <c r="F9" s="32">
        <f>C9+E9-D9</f>
        <v/>
      </c>
      <c r="G9" s="33">
        <f>IF(F9&gt;=0,"AMPRA OWES","TO EARN BACK")</f>
        <v/>
      </c>
      <c r="H9" s="31" t="n">
        <v>5875.94</v>
      </c>
      <c r="I9" s="32">
        <f>C9+E9+H9-D9</f>
        <v/>
      </c>
      <c r="J9" s="33">
        <f>IF(I9&gt;=0,"AMPRA OWES","TO EARN BACK")</f>
        <v/>
      </c>
    </row>
    <row r="10" ht="15" customHeight="1" s="25">
      <c r="A10" s="34" t="inlineStr">
        <is>
          <t>FULL TEAM</t>
        </is>
      </c>
      <c r="B10" s="34" t="inlineStr">
        <is>
          <t>—</t>
        </is>
      </c>
      <c r="C10" s="35">
        <f>SUM(C5:C9)</f>
        <v/>
      </c>
      <c r="D10" s="35">
        <f>SUM(D5:D9)</f>
        <v/>
      </c>
      <c r="E10" s="35">
        <f>SUM(E5:E9)</f>
        <v/>
      </c>
      <c r="F10" s="35">
        <f>C10+E10-D10</f>
        <v/>
      </c>
      <c r="G10" s="36">
        <f>IF(F10&gt;=0,"AMPRA OWES","TO EARN BACK")</f>
        <v/>
      </c>
      <c r="H10" s="35">
        <f>SUM(H5:H9)</f>
        <v/>
      </c>
      <c r="I10" s="35">
        <f>C10+E10+H10-D10</f>
        <v/>
      </c>
      <c r="J10" s="36">
        <f>IF(I10&gt;=0,"AMPRA OWES","TO EARN BACK")</f>
        <v/>
      </c>
    </row>
    <row r="13" ht="15" customHeight="1" s="25">
      <c r="A13" s="27" t="inlineStr">
        <is>
          <t>Current = Start + Earned − (Retainer + Ad Spend).  Projected = Current + Pending.</t>
        </is>
      </c>
    </row>
    <row r="14" ht="15" customHeight="1" s="25">
      <c r="A14" s="27" t="inlineStr">
        <is>
          <t>All pending deals are based on cash amounts and may change with finance and ACP charges. A deal counts as earned once rebates/STC are paid and finance has recorded the commission.</t>
        </is>
      </c>
    </row>
    <row r="15" ht="15" customHeight="1" s="25">
      <c r="A15" s="27" t="inlineStr">
        <is>
          <t>Red / TO EARN BACK = owed to Ampra.  AMPRA OWES = owed to the person.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4" min="1" max="1"/>
    <col width="44" customWidth="1" style="24" min="2" max="2"/>
    <col width="26" customWidth="1" style="24" min="3" max="4"/>
    <col width="10" customWidth="1" style="24" min="5" max="5"/>
    <col width="9" customWidth="1" style="24" min="6" max="6"/>
    <col width="30" customWidth="1" style="24" min="7" max="7"/>
    <col width="11" customWidth="1" style="24" min="8" max="8"/>
    <col width="13" customWidth="1" style="24" min="9" max="10"/>
    <col width="14" customWidth="1" style="24" min="11" max="11"/>
    <col width="15" customWidth="1" style="24" min="12" max="12"/>
    <col width="46" customWidth="1" style="24" min="13" max="13"/>
  </cols>
  <sheetData>
    <row r="1" ht="17.35" customHeight="1" s="25">
      <c r="A1" s="26" t="inlineStr">
        <is>
          <t>Commission pipeline — sold, not yet payable</t>
        </is>
      </c>
    </row>
    <row r="2" ht="15" customHeight="1" s="25">
      <c r="A2" s="27" t="inlineStr">
        <is>
          <t>HubSpot pull 09/09/26 · reset baseline 20/07/26 · ad spend to 03/09/26</t>
        </is>
      </c>
    </row>
    <row r="4" ht="30" customHeight="1" s="25">
      <c r="A4" s="28" t="inlineStr">
        <is>
          <t>SON</t>
        </is>
      </c>
      <c r="B4" s="28" t="inlineStr">
        <is>
          <t>Deal Name</t>
        </is>
      </c>
      <c r="C4" s="28" t="inlineStr">
        <is>
          <t>Lead Gen</t>
        </is>
      </c>
      <c r="D4" s="28" t="inlineStr">
        <is>
          <t>Specialist</t>
        </is>
      </c>
      <c r="E4" s="28" t="inlineStr">
        <is>
          <t>Deal Type</t>
        </is>
      </c>
      <c r="F4" s="28" t="inlineStr">
        <is>
          <t>Way Split</t>
        </is>
      </c>
      <c r="G4" s="28" t="inlineStr">
        <is>
          <t>Stage</t>
        </is>
      </c>
      <c r="H4" s="28" t="inlineStr">
        <is>
          <t>Date</t>
        </is>
      </c>
      <c r="I4" s="28" t="inlineStr">
        <is>
          <t>Cash</t>
        </is>
      </c>
      <c r="J4" s="28" t="inlineStr">
        <is>
          <t>Rebate</t>
        </is>
      </c>
      <c r="K4" s="28" t="inlineStr">
        <is>
          <t>Total</t>
        </is>
      </c>
      <c r="L4" s="28" t="inlineStr">
        <is>
          <t>Comm Est/Person</t>
        </is>
      </c>
      <c r="M4" s="28" t="inlineStr">
        <is>
          <t>Notes</t>
        </is>
      </c>
    </row>
    <row r="5" ht="15" customHeight="1" s="25">
      <c r="A5" s="37" t="inlineStr">
        <is>
          <t>SSA042</t>
        </is>
      </c>
      <c r="B5" s="30" t="inlineStr">
        <is>
          <t>Stephen Yu - 14 Carnarvon Street Broome WA 6725</t>
        </is>
      </c>
      <c r="C5" s="30" t="inlineStr">
        <is>
          <t>Holly, Joe</t>
        </is>
      </c>
      <c r="D5" s="30" t="inlineStr">
        <is>
          <t>Joe, Denzel Winterbeard</t>
        </is>
      </c>
      <c r="E5" s="33" t="inlineStr">
        <is>
          <t>Home</t>
        </is>
      </c>
      <c r="F5" s="33" t="n">
        <v>1</v>
      </c>
      <c r="G5" s="30" t="inlineStr">
        <is>
          <t>Upcoming</t>
        </is>
      </c>
      <c r="H5" s="33" t="inlineStr">
        <is>
          <t>—</t>
        </is>
      </c>
      <c r="I5" s="38" t="n">
        <v>49340</v>
      </c>
      <c r="J5" s="38" t="n">
        <v>20880</v>
      </c>
      <c r="K5" s="31">
        <f>I5+J5</f>
        <v/>
      </c>
      <c r="L5" s="31" t="n">
        <v>2127.88</v>
      </c>
      <c r="M5" s="30" t="n"/>
    </row>
    <row r="6" ht="15" customHeight="1" s="25">
      <c r="A6" s="37" t="inlineStr">
        <is>
          <t>210526.DWB02</t>
        </is>
      </c>
      <c r="B6" s="30" t="inlineStr">
        <is>
          <t>Ian &amp; Leonie Taylor - 4 White Street Guyra NSW 2365</t>
        </is>
      </c>
      <c r="C6" s="30" t="inlineStr">
        <is>
          <t>Hugo, Dermot, Max Bradfield, Rosa, Fran</t>
        </is>
      </c>
      <c r="D6" s="30" t="inlineStr">
        <is>
          <t>Denzel Winterbeard, Max Bradfield, Hugo, Cian Jefferson, Joe</t>
        </is>
      </c>
      <c r="E6" s="33" t="inlineStr">
        <is>
          <t>Away</t>
        </is>
      </c>
      <c r="F6" s="33" t="n">
        <v>8</v>
      </c>
      <c r="G6" s="30" t="inlineStr">
        <is>
          <t>Upcoming</t>
        </is>
      </c>
      <c r="H6" s="33" t="inlineStr">
        <is>
          <t>—</t>
        </is>
      </c>
      <c r="I6" s="38" t="n">
        <v>13930</v>
      </c>
      <c r="J6" s="38" t="n">
        <v>0</v>
      </c>
      <c r="K6" s="31">
        <f>I6+J6</f>
        <v/>
      </c>
      <c r="L6" s="31" t="n">
        <v>158.3</v>
      </c>
      <c r="M6" s="30" t="n"/>
    </row>
    <row r="7" ht="15" customHeight="1" s="25">
      <c r="A7" s="39" t="inlineStr">
        <is>
          <t>240826.DWB01</t>
        </is>
      </c>
      <c r="B7" s="40" t="inlineStr">
        <is>
          <t>Bobson Davis - 10a Brennan Court Coffs Harbour NSW 2450</t>
        </is>
      </c>
      <c r="C7" s="40" t="inlineStr">
        <is>
          <t>—</t>
        </is>
      </c>
      <c r="D7" s="40" t="inlineStr">
        <is>
          <t>Denzel Winterbeard</t>
        </is>
      </c>
      <c r="E7" s="41" t="inlineStr">
        <is>
          <t>Home</t>
        </is>
      </c>
      <c r="F7" s="41" t="n">
        <v>1</v>
      </c>
      <c r="G7" s="40" t="inlineStr">
        <is>
          <t>Upcoming</t>
        </is>
      </c>
      <c r="H7" s="41" t="inlineStr">
        <is>
          <t>—</t>
        </is>
      </c>
      <c r="I7" s="42" t="n">
        <v>14404</v>
      </c>
      <c r="J7" s="42" t="n">
        <v>3610</v>
      </c>
      <c r="K7" s="43">
        <f>I7+J7</f>
        <v/>
      </c>
      <c r="L7" s="43" t="n">
        <v>818.8200000000001</v>
      </c>
      <c r="M7" s="40" t="inlineStr">
        <is>
          <t>Unfilled role — $818.82 of the pot unallocated</t>
        </is>
      </c>
    </row>
    <row r="8" ht="15" customHeight="1" s="25">
      <c r="A8" s="37" t="inlineStr">
        <is>
          <t>190826.JS03</t>
        </is>
      </c>
      <c r="B8" s="30" t="inlineStr">
        <is>
          <t>Nicole McKechnie 2 - 2146 Braymont Road Boggabri NSW 2382</t>
        </is>
      </c>
      <c r="C8" s="30" t="inlineStr">
        <is>
          <t>Denzel Winterbeard, Ollie, Hugo, Joe</t>
        </is>
      </c>
      <c r="D8" s="30" t="inlineStr">
        <is>
          <t>Denzel Winterbeard, Hugo, Ollie, Joe</t>
        </is>
      </c>
      <c r="E8" s="33" t="inlineStr">
        <is>
          <t>Away</t>
        </is>
      </c>
      <c r="F8" s="33" t="n">
        <v>4</v>
      </c>
      <c r="G8" s="30" t="inlineStr">
        <is>
          <t>Upcoming</t>
        </is>
      </c>
      <c r="H8" s="33" t="inlineStr">
        <is>
          <t>—</t>
        </is>
      </c>
      <c r="I8" s="38" t="n">
        <v>32400</v>
      </c>
      <c r="J8" s="38" t="n">
        <v>32400</v>
      </c>
      <c r="K8" s="31">
        <f>I8+J8</f>
        <v/>
      </c>
      <c r="L8" s="31" t="n">
        <v>1472.73</v>
      </c>
      <c r="M8" s="30" t="n"/>
    </row>
    <row r="9" ht="15" customHeight="1" s="25">
      <c r="A9" s="37" t="inlineStr">
        <is>
          <t>150726.HS01</t>
        </is>
      </c>
      <c r="B9" s="30" t="inlineStr">
        <is>
          <t>Francis and Andrefe Abrenica - 38 Prince Street Junee NSW 2663</t>
        </is>
      </c>
      <c r="C9" s="30" t="inlineStr">
        <is>
          <t>Joe</t>
        </is>
      </c>
      <c r="D9" s="30" t="inlineStr">
        <is>
          <t>Hugo</t>
        </is>
      </c>
      <c r="E9" s="33" t="inlineStr">
        <is>
          <t>Home</t>
        </is>
      </c>
      <c r="F9" s="33" t="n">
        <v>1</v>
      </c>
      <c r="G9" s="30" t="inlineStr">
        <is>
          <t>Upcoming</t>
        </is>
      </c>
      <c r="H9" s="33" t="inlineStr">
        <is>
          <t>—</t>
        </is>
      </c>
      <c r="I9" s="38" t="n">
        <v>7813</v>
      </c>
      <c r="J9" s="38" t="n">
        <v>0</v>
      </c>
      <c r="K9" s="31">
        <f>I9+J9</f>
        <v/>
      </c>
      <c r="L9" s="31" t="n">
        <v>355.14</v>
      </c>
      <c r="M9" s="30" t="n"/>
    </row>
    <row r="10" ht="15" customHeight="1" s="25">
      <c r="A10" s="39" t="inlineStr">
        <is>
          <t>190826.JS01</t>
        </is>
      </c>
      <c r="B10" s="40" t="inlineStr">
        <is>
          <t>Mick Dunn - 76 Elizabeth Parade Forster NSW 2428</t>
        </is>
      </c>
      <c r="C10" s="40" t="inlineStr">
        <is>
          <t>—</t>
        </is>
      </c>
      <c r="D10" s="40" t="inlineStr">
        <is>
          <t>Joe</t>
        </is>
      </c>
      <c r="E10" s="41" t="inlineStr">
        <is>
          <t>Home</t>
        </is>
      </c>
      <c r="F10" s="41" t="n">
        <v>1</v>
      </c>
      <c r="G10" s="40" t="inlineStr">
        <is>
          <t>Upcoming</t>
        </is>
      </c>
      <c r="H10" s="41" t="inlineStr">
        <is>
          <t>—</t>
        </is>
      </c>
      <c r="I10" s="42" t="n">
        <v>15500</v>
      </c>
      <c r="J10" s="42" t="n">
        <v>17507</v>
      </c>
      <c r="K10" s="43">
        <f>I10+J10</f>
        <v/>
      </c>
      <c r="L10" s="43" t="n">
        <v>1500.32</v>
      </c>
      <c r="M10" s="40" t="inlineStr">
        <is>
          <t>Unfilled role — $1,500.32 of the pot unallocated</t>
        </is>
      </c>
    </row>
    <row r="11" ht="15" customHeight="1" s="25">
      <c r="A11" s="39" t="inlineStr">
        <is>
          <t>100826.JS01</t>
        </is>
      </c>
      <c r="B11" s="40" t="inlineStr">
        <is>
          <t>Ian Potter - 11 Pickfords Road Yetman 2410 NSW</t>
        </is>
      </c>
      <c r="C11" s="40" t="inlineStr">
        <is>
          <t>—</t>
        </is>
      </c>
      <c r="D11" s="40" t="inlineStr">
        <is>
          <t>Hugo, Denzel Winterbeard</t>
        </is>
      </c>
      <c r="E11" s="41" t="inlineStr">
        <is>
          <t>Home</t>
        </is>
      </c>
      <c r="F11" s="41" t="n">
        <v>1</v>
      </c>
      <c r="G11" s="40" t="inlineStr">
        <is>
          <t>Upcoming</t>
        </is>
      </c>
      <c r="H11" s="41" t="inlineStr">
        <is>
          <t>—</t>
        </is>
      </c>
      <c r="I11" s="42" t="n">
        <v>23672</v>
      </c>
      <c r="J11" s="42" t="n">
        <v>7065</v>
      </c>
      <c r="K11" s="43">
        <f>I11+J11</f>
        <v/>
      </c>
      <c r="L11" s="43" t="n">
        <v>698.5700000000001</v>
      </c>
      <c r="M11" s="40" t="inlineStr">
        <is>
          <t>Customer referral — no lead gen half ($1,397.14)</t>
        </is>
      </c>
    </row>
    <row r="12" ht="15" customHeight="1" s="25">
      <c r="A12" s="37" t="inlineStr">
        <is>
          <t>130826.JS01</t>
        </is>
      </c>
      <c r="B12" s="30" t="inlineStr">
        <is>
          <t>Charmaine Potter - 43-45 Warialda Street Yetman NSW 2410</t>
        </is>
      </c>
      <c r="C12" s="30" t="inlineStr">
        <is>
          <t>—</t>
        </is>
      </c>
      <c r="D12" s="30" t="inlineStr">
        <is>
          <t>Ollie, Hugo, Denzel Winterbeard</t>
        </is>
      </c>
      <c r="E12" s="33" t="inlineStr">
        <is>
          <t>Away</t>
        </is>
      </c>
      <c r="F12" s="33" t="n">
        <v>3</v>
      </c>
      <c r="G12" s="30" t="inlineStr">
        <is>
          <t>Upcoming</t>
        </is>
      </c>
      <c r="H12" s="33" t="inlineStr">
        <is>
          <t>—</t>
        </is>
      </c>
      <c r="I12" s="38" t="n">
        <v>19995</v>
      </c>
      <c r="J12" s="38" t="n">
        <v>4572</v>
      </c>
      <c r="K12" s="31">
        <f>I12+J12</f>
        <v/>
      </c>
      <c r="L12" s="31" t="n">
        <v>744.45</v>
      </c>
      <c r="M12" s="30" t="n"/>
    </row>
    <row r="13" ht="15" customHeight="1" s="25">
      <c r="A13" s="39" t="inlineStr">
        <is>
          <t>050826.DWB01</t>
        </is>
      </c>
      <c r="B13" s="40" t="inlineStr">
        <is>
          <t>Jocellin &amp; John Manchee - Christmas Creek WA</t>
        </is>
      </c>
      <c r="C13" s="40" t="inlineStr">
        <is>
          <t>—</t>
        </is>
      </c>
      <c r="D13" s="40" t="inlineStr">
        <is>
          <t>—</t>
        </is>
      </c>
      <c r="E13" s="41" t="inlineStr">
        <is>
          <t>Flat</t>
        </is>
      </c>
      <c r="F13" s="41" t="n">
        <v>1</v>
      </c>
      <c r="G13" s="40" t="inlineStr">
        <is>
          <t>Upcoming</t>
        </is>
      </c>
      <c r="H13" s="41" t="inlineStr">
        <is>
          <t>—</t>
        </is>
      </c>
      <c r="I13" s="42" t="n">
        <v>192431</v>
      </c>
      <c r="J13" s="42" t="n">
        <v>32137</v>
      </c>
      <c r="K13" s="43">
        <f>I13+J13</f>
        <v/>
      </c>
      <c r="L13" s="43" t="n">
        <v>5000</v>
      </c>
      <c r="M13" s="40" t="inlineStr">
        <is>
          <t>Flat commission confirmed by Joe - not a percentage split</t>
        </is>
      </c>
    </row>
    <row r="14" ht="15" customHeight="1" s="25">
      <c r="A14" s="37" t="inlineStr">
        <is>
          <t>210726.JS01</t>
        </is>
      </c>
      <c r="B14" s="30" t="inlineStr">
        <is>
          <t>Dave Nolan - 6 Blick Drive Broome WA 6725</t>
        </is>
      </c>
      <c r="C14" s="30" t="inlineStr">
        <is>
          <t>—</t>
        </is>
      </c>
      <c r="D14" s="30" t="inlineStr">
        <is>
          <t>Joe, Denzel Winterbeard, Cian Jefferson, Hugo</t>
        </is>
      </c>
      <c r="E14" s="33" t="inlineStr">
        <is>
          <t>Away</t>
        </is>
      </c>
      <c r="F14" s="33" t="n">
        <v>4</v>
      </c>
      <c r="G14" s="30" t="inlineStr">
        <is>
          <t>Upcoming</t>
        </is>
      </c>
      <c r="H14" s="33" t="inlineStr">
        <is>
          <t>—</t>
        </is>
      </c>
      <c r="I14" s="38" t="n">
        <v>15000</v>
      </c>
      <c r="J14" s="38" t="n">
        <v>4238</v>
      </c>
      <c r="K14" s="31">
        <f>I14+J14</f>
        <v/>
      </c>
      <c r="L14" s="31" t="n">
        <v>437.23</v>
      </c>
      <c r="M14" s="30" t="n"/>
    </row>
    <row r="15" ht="15" customHeight="1" s="25">
      <c r="A15" s="39" t="inlineStr">
        <is>
          <t>130826.JS02</t>
        </is>
      </c>
      <c r="B15" s="40" t="inlineStr">
        <is>
          <t>Rosemary Arnold 2 - 38 Holden Street Warialda NSW 2402</t>
        </is>
      </c>
      <c r="C15" s="40" t="inlineStr">
        <is>
          <t>—</t>
        </is>
      </c>
      <c r="D15" s="40" t="inlineStr">
        <is>
          <t>—</t>
        </is>
      </c>
      <c r="E15" s="41" t="inlineStr">
        <is>
          <t>Home</t>
        </is>
      </c>
      <c r="F15" s="41" t="n">
        <v>1</v>
      </c>
      <c r="G15" s="40" t="inlineStr">
        <is>
          <t>Upcoming</t>
        </is>
      </c>
      <c r="H15" s="41" t="inlineStr">
        <is>
          <t>—</t>
        </is>
      </c>
      <c r="I15" s="42" t="n">
        <v>6000</v>
      </c>
      <c r="J15" s="42" t="n">
        <v>0</v>
      </c>
      <c r="K15" s="43">
        <f>I15+J15</f>
        <v/>
      </c>
      <c r="L15" s="43" t="n">
        <v>0</v>
      </c>
      <c r="M15" s="40" t="inlineStr">
        <is>
          <t>Unfilled role — $545.45 of the pot unallocated</t>
        </is>
      </c>
    </row>
    <row r="16" ht="15" customHeight="1" s="25">
      <c r="A16" s="37" t="inlineStr">
        <is>
          <t>SSA038</t>
        </is>
      </c>
      <c r="B16" s="30" t="inlineStr">
        <is>
          <t>Christopher Beveridge - 1 Slater Road Cable Beach WA 6726</t>
        </is>
      </c>
      <c r="C16" s="30" t="inlineStr">
        <is>
          <t>Joe</t>
        </is>
      </c>
      <c r="D16" s="30" t="inlineStr">
        <is>
          <t>Joe</t>
        </is>
      </c>
      <c r="E16" s="33" t="inlineStr">
        <is>
          <t>Home</t>
        </is>
      </c>
      <c r="F16" s="33" t="n">
        <v>1</v>
      </c>
      <c r="G16" s="30" t="inlineStr">
        <is>
          <t>Upcoming</t>
        </is>
      </c>
      <c r="H16" s="33" t="inlineStr">
        <is>
          <t>—</t>
        </is>
      </c>
      <c r="I16" s="38" t="n">
        <v>18250</v>
      </c>
      <c r="J16" s="38" t="n">
        <v>8085</v>
      </c>
      <c r="K16" s="31">
        <f>I16+J16</f>
        <v/>
      </c>
      <c r="L16" s="31" t="n">
        <v>2394.09</v>
      </c>
      <c r="M16" s="30" t="n"/>
    </row>
    <row r="17" ht="15" customHeight="1" s="25">
      <c r="A17" s="37" t="inlineStr">
        <is>
          <t>080926.JS01</t>
        </is>
      </c>
      <c r="B17" s="30" t="inlineStr">
        <is>
          <t>Matthew Evans - 334 Bodalla Park Drive Bodalla NSW 2545</t>
        </is>
      </c>
      <c r="C17" s="30" t="inlineStr">
        <is>
          <t>Hugo</t>
        </is>
      </c>
      <c r="D17" s="30" t="inlineStr">
        <is>
          <t>Joe</t>
        </is>
      </c>
      <c r="E17" s="33" t="inlineStr">
        <is>
          <t>Home</t>
        </is>
      </c>
      <c r="F17" s="33" t="n">
        <v>1</v>
      </c>
      <c r="G17" s="30" t="inlineStr">
        <is>
          <t>Upcoming</t>
        </is>
      </c>
      <c r="H17" s="33" t="inlineStr">
        <is>
          <t>—</t>
        </is>
      </c>
      <c r="I17" s="38" t="n">
        <v>21087</v>
      </c>
      <c r="J17" s="38" t="n">
        <v>9702</v>
      </c>
      <c r="K17" s="31">
        <f>I17+J17</f>
        <v/>
      </c>
      <c r="L17" s="31" t="n">
        <v>1399.5</v>
      </c>
      <c r="M17" s="30" t="n"/>
    </row>
    <row r="18" ht="15" customHeight="1" s="25">
      <c r="A18" s="39" t="inlineStr">
        <is>
          <t>190826.JS04</t>
        </is>
      </c>
      <c r="B18" s="40" t="inlineStr">
        <is>
          <t>Nicole McKechnie 3 - POLE - 2146 Braymont Road Boggabri NSW 2382</t>
        </is>
      </c>
      <c r="C18" s="40" t="inlineStr">
        <is>
          <t>—</t>
        </is>
      </c>
      <c r="D18" s="40" t="inlineStr">
        <is>
          <t>—</t>
        </is>
      </c>
      <c r="E18" s="41" t="inlineStr">
        <is>
          <t>Home</t>
        </is>
      </c>
      <c r="F18" s="41" t="n">
        <v>1</v>
      </c>
      <c r="G18" s="40" t="inlineStr">
        <is>
          <t>Upcoming</t>
        </is>
      </c>
      <c r="H18" s="41" t="inlineStr">
        <is>
          <t>—</t>
        </is>
      </c>
      <c r="I18" s="42" t="n">
        <v>40000</v>
      </c>
      <c r="J18" s="42" t="n">
        <v>0</v>
      </c>
      <c r="K18" s="43">
        <f>I18+J18</f>
        <v/>
      </c>
      <c r="L18" s="43" t="n">
        <v>0</v>
      </c>
      <c r="M18" s="40" t="inlineStr">
        <is>
          <t>Unfilled role — $3,636.36 of the pot unallocated</t>
        </is>
      </c>
    </row>
    <row r="19" ht="15" customHeight="1" s="25">
      <c r="A19" s="37" t="inlineStr">
        <is>
          <t>020926.JS02</t>
        </is>
      </c>
      <c r="B19" s="30" t="inlineStr">
        <is>
          <t>Katie Young 2 - 66 Dangar Street Narrabri NSW 2390</t>
        </is>
      </c>
      <c r="C19" s="30" t="inlineStr">
        <is>
          <t>Hannah</t>
        </is>
      </c>
      <c r="D19" s="30" t="inlineStr">
        <is>
          <t>Joe</t>
        </is>
      </c>
      <c r="E19" s="33" t="inlineStr">
        <is>
          <t>Home</t>
        </is>
      </c>
      <c r="F19" s="33" t="n">
        <v>1</v>
      </c>
      <c r="G19" s="30" t="inlineStr">
        <is>
          <t>Upcoming</t>
        </is>
      </c>
      <c r="H19" s="33" t="inlineStr">
        <is>
          <t>—</t>
        </is>
      </c>
      <c r="I19" s="38" t="n">
        <v>6448</v>
      </c>
      <c r="J19" s="38" t="n">
        <v>0</v>
      </c>
      <c r="K19" s="31">
        <f>I19+J19</f>
        <v/>
      </c>
      <c r="L19" s="31" t="n">
        <v>293.09</v>
      </c>
      <c r="M19" s="30" t="n"/>
    </row>
    <row r="20" ht="15" customHeight="1" s="25">
      <c r="A20" s="37" t="inlineStr">
        <is>
          <t>060526.JS01</t>
        </is>
      </c>
      <c r="B20" s="30" t="inlineStr">
        <is>
          <t>John Haig - 3 Oxley Street Tallimba NSW 2669</t>
        </is>
      </c>
      <c r="C20" s="30" t="inlineStr">
        <is>
          <t>Holly</t>
        </is>
      </c>
      <c r="D20" s="30" t="inlineStr">
        <is>
          <t>Joe</t>
        </is>
      </c>
      <c r="E20" s="33" t="inlineStr">
        <is>
          <t>Home</t>
        </is>
      </c>
      <c r="F20" s="33" t="n">
        <v>1</v>
      </c>
      <c r="G20" s="30" t="inlineStr">
        <is>
          <t>Upcoming</t>
        </is>
      </c>
      <c r="H20" s="33" t="inlineStr">
        <is>
          <t>—</t>
        </is>
      </c>
      <c r="I20" s="38" t="n">
        <v>15000</v>
      </c>
      <c r="J20" s="38" t="n">
        <v>5846</v>
      </c>
      <c r="K20" s="31">
        <f>I20+J20</f>
        <v/>
      </c>
      <c r="L20" s="31" t="n">
        <v>947.55</v>
      </c>
      <c r="M20" s="30" t="n"/>
    </row>
    <row r="21" ht="15" customHeight="1" s="25">
      <c r="A21" s="37" t="inlineStr">
        <is>
          <t>190826.JS02</t>
        </is>
      </c>
      <c r="B21" s="30" t="inlineStr">
        <is>
          <t>Nicole McKechnie - 86 Wee Waa Street Boggabri NSW 2382</t>
        </is>
      </c>
      <c r="C21" s="30" t="inlineStr">
        <is>
          <t>Denzel Winterbeard, Ollie, Hugo, Joe</t>
        </is>
      </c>
      <c r="D21" s="30" t="inlineStr">
        <is>
          <t>Denzel Winterbeard, Hugo, Ollie, Joe</t>
        </is>
      </c>
      <c r="E21" s="33" t="inlineStr">
        <is>
          <t>Away</t>
        </is>
      </c>
      <c r="F21" s="33" t="n">
        <v>4</v>
      </c>
      <c r="G21" s="30" t="inlineStr">
        <is>
          <t>Upcoming</t>
        </is>
      </c>
      <c r="H21" s="33" t="inlineStr">
        <is>
          <t>—</t>
        </is>
      </c>
      <c r="I21" s="38" t="n">
        <v>17600</v>
      </c>
      <c r="J21" s="38" t="n">
        <v>17600</v>
      </c>
      <c r="K21" s="31">
        <f>I21+J21</f>
        <v/>
      </c>
      <c r="L21" s="31" t="n">
        <v>800</v>
      </c>
      <c r="M21" s="30" t="n"/>
    </row>
    <row r="22" ht="15" customHeight="1" s="25">
      <c r="A22" s="37" t="inlineStr">
        <is>
          <t>080926.DWB003</t>
        </is>
      </c>
      <c r="B22" s="30" t="inlineStr">
        <is>
          <t>Linda Miller - 31 Ruth White Avenue Muswellbrook NSW 2333</t>
        </is>
      </c>
      <c r="C22" s="30" t="inlineStr">
        <is>
          <t>Hugo</t>
        </is>
      </c>
      <c r="D22" s="30" t="inlineStr">
        <is>
          <t>Denzel Winterbeard</t>
        </is>
      </c>
      <c r="E22" s="33" t="inlineStr">
        <is>
          <t>Home</t>
        </is>
      </c>
      <c r="F22" s="33" t="n">
        <v>1</v>
      </c>
      <c r="G22" s="30" t="inlineStr">
        <is>
          <t>Upcoming</t>
        </is>
      </c>
      <c r="H22" s="33" t="inlineStr">
        <is>
          <t>—</t>
        </is>
      </c>
      <c r="I22" s="38" t="n">
        <v>14560</v>
      </c>
      <c r="J22" s="38" t="n">
        <v>5393</v>
      </c>
      <c r="K22" s="31">
        <f>I22+J22</f>
        <v/>
      </c>
      <c r="L22" s="31" t="n">
        <v>906.95</v>
      </c>
      <c r="M22" s="30" t="n"/>
    </row>
    <row r="23" ht="15" customHeight="1" s="25">
      <c r="A23" s="39" t="inlineStr">
        <is>
          <t>040929.JS02</t>
        </is>
      </c>
      <c r="B23" s="40" t="inlineStr">
        <is>
          <t>Malcolm Nicholson - 627 Te Kawa Toad Te Awamutu Waikato 3873</t>
        </is>
      </c>
      <c r="C23" s="40" t="inlineStr">
        <is>
          <t>—</t>
        </is>
      </c>
      <c r="D23" s="40" t="inlineStr">
        <is>
          <t>Joe</t>
        </is>
      </c>
      <c r="E23" s="41" t="inlineStr">
        <is>
          <t>Home</t>
        </is>
      </c>
      <c r="F23" s="41" t="n">
        <v>1</v>
      </c>
      <c r="G23" s="40" t="inlineStr">
        <is>
          <t>Upcoming</t>
        </is>
      </c>
      <c r="H23" s="41" t="inlineStr">
        <is>
          <t>—</t>
        </is>
      </c>
      <c r="I23" s="42" t="n">
        <v>19765</v>
      </c>
      <c r="J23" s="42" t="n">
        <v>0</v>
      </c>
      <c r="K23" s="43">
        <f>I23+J23</f>
        <v/>
      </c>
      <c r="L23" s="43" t="n">
        <v>898.41</v>
      </c>
      <c r="M23" s="40" t="inlineStr">
        <is>
          <t>Unfilled role — $898.41 of the pot unallocated</t>
        </is>
      </c>
    </row>
    <row r="24" ht="15" customHeight="1" s="25">
      <c r="A24" s="37" t="inlineStr">
        <is>
          <t>120826.DWB01</t>
        </is>
      </c>
      <c r="B24" s="30" t="inlineStr">
        <is>
          <t>Rachel &amp; Steve Bowd - 107 Laidlaw Street Boggabri NSW 2382</t>
        </is>
      </c>
      <c r="C24" s="30" t="inlineStr">
        <is>
          <t>Denzel Winterbeard, Hugo, Ollie</t>
        </is>
      </c>
      <c r="D24" s="30" t="inlineStr">
        <is>
          <t>Denzel Winterbeard, Hugo, Ollie</t>
        </is>
      </c>
      <c r="E24" s="33" t="inlineStr">
        <is>
          <t>Away</t>
        </is>
      </c>
      <c r="F24" s="33" t="n">
        <v>3</v>
      </c>
      <c r="G24" s="30" t="inlineStr">
        <is>
          <t>Installed – awaiting finance</t>
        </is>
      </c>
      <c r="H24" s="33" t="inlineStr">
        <is>
          <t>03/09/26</t>
        </is>
      </c>
      <c r="I24" s="38" t="n">
        <v>20489</v>
      </c>
      <c r="J24" s="38" t="n">
        <v>4910</v>
      </c>
      <c r="K24" s="31">
        <f>I24+J24</f>
        <v/>
      </c>
      <c r="L24" s="31" t="n">
        <v>769.67</v>
      </c>
      <c r="M24" s="30" t="n"/>
    </row>
    <row r="25" ht="15" customHeight="1" s="25">
      <c r="A25" s="39" t="inlineStr">
        <is>
          <t>140826.DWB03</t>
        </is>
      </c>
      <c r="B25" s="40" t="inlineStr">
        <is>
          <t>Margaret Galagher - 90 Boundary Street Wee Waa NSW 2388</t>
        </is>
      </c>
      <c r="C25" s="40" t="inlineStr">
        <is>
          <t>—</t>
        </is>
      </c>
      <c r="D25" s="40" t="inlineStr">
        <is>
          <t>Denzel Winterbeard</t>
        </is>
      </c>
      <c r="E25" s="41" t="inlineStr">
        <is>
          <t>Home</t>
        </is>
      </c>
      <c r="F25" s="41" t="n">
        <v>1</v>
      </c>
      <c r="G25" s="40" t="inlineStr">
        <is>
          <t>Installed – awaiting finance</t>
        </is>
      </c>
      <c r="H25" s="41" t="inlineStr">
        <is>
          <t>02/09/26</t>
        </is>
      </c>
      <c r="I25" s="42" t="n">
        <v>14529</v>
      </c>
      <c r="J25" s="42" t="n">
        <v>5788</v>
      </c>
      <c r="K25" s="43">
        <f>I25+J25</f>
        <v/>
      </c>
      <c r="L25" s="43" t="n">
        <v>923.5</v>
      </c>
      <c r="M25" s="40" t="inlineStr">
        <is>
          <t>Unfilled role — $923.50 of the pot unallocated</t>
        </is>
      </c>
    </row>
    <row r="26" ht="15" customHeight="1" s="25">
      <c r="A26" s="37" t="inlineStr">
        <is>
          <t>140826.DWB02</t>
        </is>
      </c>
      <c r="B26" s="30" t="inlineStr">
        <is>
          <t>Ken Anderson - 1 Inglewood Avenue Wee Waa NSW 2388</t>
        </is>
      </c>
      <c r="C26" s="30" t="inlineStr">
        <is>
          <t>Ollie, Hugo, Denzel Winterbeard</t>
        </is>
      </c>
      <c r="D26" s="30" t="inlineStr">
        <is>
          <t>Hugo, Denzel Winterbeard, Ollie</t>
        </is>
      </c>
      <c r="E26" s="33" t="inlineStr">
        <is>
          <t>Away</t>
        </is>
      </c>
      <c r="F26" s="33" t="n">
        <v>3</v>
      </c>
      <c r="G26" s="30" t="inlineStr">
        <is>
          <t>Installed – awaiting finance</t>
        </is>
      </c>
      <c r="H26" s="33" t="inlineStr">
        <is>
          <t>02/09/26</t>
        </is>
      </c>
      <c r="I26" s="38" t="n">
        <v>14530</v>
      </c>
      <c r="J26" s="38" t="n">
        <v>5788</v>
      </c>
      <c r="K26" s="31">
        <f>I26+J26</f>
        <v/>
      </c>
      <c r="L26" s="31" t="n">
        <v>615.7</v>
      </c>
      <c r="M26" s="30" t="n"/>
    </row>
    <row r="27" ht="15" customHeight="1" s="25">
      <c r="A27" s="37" t="inlineStr">
        <is>
          <t>120826.JS01</t>
        </is>
      </c>
      <c r="B27" s="30" t="inlineStr">
        <is>
          <t>Courtney Farrel - 220 Merton Street Boggabri NSW 2382</t>
        </is>
      </c>
      <c r="C27" s="30" t="inlineStr">
        <is>
          <t>Ollie, Denzel Winterbeard, Hugo</t>
        </is>
      </c>
      <c r="D27" s="30" t="inlineStr">
        <is>
          <t>Denzel Winterbeard, Hugo</t>
        </is>
      </c>
      <c r="E27" s="33" t="inlineStr">
        <is>
          <t>Away</t>
        </is>
      </c>
      <c r="F27" s="33" t="n">
        <v>3</v>
      </c>
      <c r="G27" s="30" t="inlineStr">
        <is>
          <t>Installed – awaiting finance</t>
        </is>
      </c>
      <c r="H27" s="33" t="inlineStr">
        <is>
          <t>01/09/26</t>
        </is>
      </c>
      <c r="I27" s="38" t="n">
        <v>19000</v>
      </c>
      <c r="J27" s="38" t="n">
        <v>6788</v>
      </c>
      <c r="K27" s="31">
        <f>I27+J27</f>
        <v/>
      </c>
      <c r="L27" s="31" t="n">
        <v>781.45</v>
      </c>
      <c r="M27" s="30" t="n"/>
    </row>
    <row r="28" ht="15" customHeight="1" s="25">
      <c r="A28" s="37" t="inlineStr">
        <is>
          <t>140826.DWB01</t>
        </is>
      </c>
      <c r="B28" s="30" t="inlineStr">
        <is>
          <t>Sophia Muino - 61 Nandewar Street Narrabri NSW 2390</t>
        </is>
      </c>
      <c r="C28" s="30" t="inlineStr">
        <is>
          <t>Denzel Winterbeard, Ollie, Hugo</t>
        </is>
      </c>
      <c r="D28" s="30" t="inlineStr">
        <is>
          <t>Denzel Winterbeard, Hugo, Ollie</t>
        </is>
      </c>
      <c r="E28" s="33" t="inlineStr">
        <is>
          <t>Away</t>
        </is>
      </c>
      <c r="F28" s="33" t="n">
        <v>3</v>
      </c>
      <c r="G28" s="30" t="inlineStr">
        <is>
          <t>Installed – awaiting finance</t>
        </is>
      </c>
      <c r="H28" s="33" t="inlineStr">
        <is>
          <t>01/09/26</t>
        </is>
      </c>
      <c r="I28" s="38" t="n">
        <v>16400</v>
      </c>
      <c r="J28" s="38" t="n">
        <v>6434</v>
      </c>
      <c r="K28" s="31">
        <f>I28+J28</f>
        <v/>
      </c>
      <c r="L28" s="31" t="n">
        <v>691.9400000000001</v>
      </c>
      <c r="M28" s="30" t="n"/>
    </row>
    <row r="29" ht="15" customHeight="1" s="25">
      <c r="A29" s="37" t="inlineStr">
        <is>
          <t>130726.JS01</t>
        </is>
      </c>
      <c r="B29" s="30" t="inlineStr">
        <is>
          <t>Zanthia &amp; Travis Peters - 2 Connors Lane Maclean NSW 2463</t>
        </is>
      </c>
      <c r="C29" s="30" t="inlineStr">
        <is>
          <t>Hugo, Max Bradfield</t>
        </is>
      </c>
      <c r="D29" s="30" t="inlineStr">
        <is>
          <t>Denzel Winterbeard</t>
        </is>
      </c>
      <c r="E29" s="33" t="inlineStr">
        <is>
          <t>Away</t>
        </is>
      </c>
      <c r="F29" s="33" t="n">
        <v>3</v>
      </c>
      <c r="G29" s="30" t="inlineStr">
        <is>
          <t>Installed – awaiting finance</t>
        </is>
      </c>
      <c r="H29" s="33" t="inlineStr">
        <is>
          <t>25/08/26</t>
        </is>
      </c>
      <c r="I29" s="38" t="n">
        <v>15000</v>
      </c>
      <c r="J29" s="38" t="n">
        <v>4238</v>
      </c>
      <c r="K29" s="31">
        <f>I29+J29</f>
        <v/>
      </c>
      <c r="L29" s="31" t="n">
        <v>582.97</v>
      </c>
      <c r="M29" s="30" t="n"/>
    </row>
    <row r="30">
      <c r="A30" s="37" t="inlineStr">
        <is>
          <t>150626.DWB01</t>
        </is>
      </c>
      <c r="B30" s="30" t="inlineStr">
        <is>
          <t>Mark Wilson - 3 Mcrae Court Yarrawonga VIC 3730</t>
        </is>
      </c>
      <c r="C30" s="30" t="inlineStr">
        <is>
          <t>Denzel Winterbeard</t>
        </is>
      </c>
      <c r="D30" s="30" t="inlineStr">
        <is>
          <t>Denzel Winterbeard</t>
        </is>
      </c>
      <c r="E30" s="33" t="inlineStr">
        <is>
          <t>Home</t>
        </is>
      </c>
      <c r="F30" s="33" t="n">
        <v>1</v>
      </c>
      <c r="G30" s="30" t="inlineStr">
        <is>
          <t>Installed – awaiting STC &amp; finance</t>
        </is>
      </c>
      <c r="H30" s="33" t="inlineStr">
        <is>
          <t>20/08/26</t>
        </is>
      </c>
      <c r="I30" s="38" t="n">
        <v>30529</v>
      </c>
      <c r="J30" s="38" t="n">
        <v>7201</v>
      </c>
      <c r="K30" s="31">
        <f>I30+J30</f>
        <v/>
      </c>
      <c r="L30" s="31" t="n">
        <v>3430</v>
      </c>
      <c r="M30" s="30" t="n"/>
    </row>
    <row r="31" ht="15" customHeight="1" s="25">
      <c r="A31" s="34" t="inlineStr">
        <is>
          <t>TOTAL</t>
        </is>
      </c>
      <c r="B31" s="44" t="n"/>
      <c r="C31" s="44" t="n"/>
      <c r="D31" s="44" t="n"/>
      <c r="E31" s="44" t="n"/>
      <c r="F31" s="44" t="n"/>
      <c r="G31" s="44" t="n"/>
      <c r="H31" s="44" t="n"/>
      <c r="I31" s="35">
        <f>SUM(I5:I30)</f>
        <v/>
      </c>
      <c r="J31" s="35">
        <f>SUM(J5:J30)</f>
        <v/>
      </c>
      <c r="K31" s="35">
        <f>SUM(K5:K30)</f>
        <v/>
      </c>
      <c r="L31" s="44" t="n"/>
      <c r="M31" s="44" t="n"/>
    </row>
    <row r="32" ht="15" customHeight="1" s="25"/>
    <row r="33">
      <c r="A33" s="27" t="inlineStr">
        <is>
          <t>All pending deals are based on cash amounts and may change with finance and ACP charges. A deal counts as earned once rebates/STC are paid and finance has recorded the commission.</t>
        </is>
      </c>
    </row>
    <row r="34">
      <c r="A34" s="27" t="inlineStr">
        <is>
          <t>Blue figures are user-adjustable inputs. Shaded rows carry a flag.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4" min="1" max="2"/>
    <col width="16" customWidth="1" style="24" min="3" max="4"/>
    <col width="62" customWidth="1" style="24" min="5" max="5"/>
  </cols>
  <sheetData>
    <row r="1" ht="17.35" customHeight="1" s="25">
      <c r="A1" s="26" t="inlineStr">
        <is>
          <t>Retainer log &amp; Meta ad spend</t>
        </is>
      </c>
    </row>
    <row r="2" ht="15" customHeight="1" s="25">
      <c r="A2" s="27" t="inlineStr">
        <is>
          <t>HubSpot pull 09/09/26 · reset baseline 20/07/26 · ad spend to 03/09/26</t>
        </is>
      </c>
    </row>
    <row r="4" ht="15" customHeight="1" s="25">
      <c r="A4" s="45" t="inlineStr">
        <is>
          <t>SETTINGS</t>
        </is>
      </c>
    </row>
    <row r="5" ht="15" customHeight="1" s="25">
      <c r="A5" s="45" t="inlineStr">
        <is>
          <t>Retainer — Denzel Winterbeard</t>
        </is>
      </c>
      <c r="B5" s="46" t="inlineStr">
        <is>
          <t>$1,250.00 / week gross, paid fortnightly as $2,500.00</t>
        </is>
      </c>
    </row>
    <row r="6" ht="15" customHeight="1" s="25">
      <c r="A6" s="45" t="inlineStr">
        <is>
          <t>Retainer — Holly</t>
        </is>
      </c>
      <c r="B6" s="46" t="inlineStr">
        <is>
          <t>$250.00 / week, paid fortnightly as $500.00</t>
        </is>
      </c>
    </row>
    <row r="7" ht="15" customHeight="1" s="25">
      <c r="A7" s="45" t="inlineStr">
        <is>
          <t>PAYG + Super</t>
        </is>
      </c>
      <c r="B7" s="46" t="inlineStr">
        <is>
          <t>Super (12%) payable in addition via payroll — not calculated here</t>
        </is>
      </c>
    </row>
    <row r="8" ht="15" customHeight="1" s="25">
      <c r="A8" s="45" t="inlineStr">
        <is>
          <t>NZD → AUD rate</t>
        </is>
      </c>
      <c r="B8" s="46" t="inlineStr">
        <is>
          <t>0.8111 mid-market, checked 09/09/26 (Xe 0.81106482 @ 02:30 UTC, Wise 0.8111). Applies to new NZ spend only.</t>
        </is>
      </c>
    </row>
    <row r="9" ht="15" customHeight="1" s="25">
      <c r="A9" s="45" t="inlineStr">
        <is>
          <t>Applies to</t>
        </is>
      </c>
      <c r="B9" s="46" t="inlineStr">
        <is>
          <t>New NZ spend only. Logged NZ rows keep the rate they were struck at.</t>
        </is>
      </c>
    </row>
    <row r="10" ht="15" customHeight="1" s="25">
      <c r="A10" s="45" t="inlineStr">
        <is>
          <t>Meta ad accounts</t>
        </is>
      </c>
      <c r="B10" s="46" t="inlineStr">
        <is>
          <t>AU 885732170587122 (AUD) · NZ 199976947 (NZD) — both counted</t>
        </is>
      </c>
    </row>
    <row r="12" ht="15" customHeight="1" s="25">
      <c r="A12" s="28" t="inlineStr">
        <is>
          <t>Date</t>
        </is>
      </c>
      <c r="B12" s="28" t="inlineStr">
        <is>
          <t>Person</t>
        </is>
      </c>
      <c r="C12" s="28" t="inlineStr">
        <is>
          <t>Type</t>
        </is>
      </c>
      <c r="D12" s="28" t="inlineStr">
        <is>
          <t>Amount (AUD)</t>
        </is>
      </c>
      <c r="E12" s="28" t="inlineStr">
        <is>
          <t>Note</t>
        </is>
      </c>
    </row>
    <row r="13" ht="15" customHeight="1" s="25">
      <c r="A13" s="33" t="inlineStr">
        <is>
          <t>04/09/26</t>
        </is>
      </c>
      <c r="B13" s="30" t="inlineStr">
        <is>
          <t>Holly</t>
        </is>
      </c>
      <c r="C13" s="30" t="inlineStr">
        <is>
          <t>Retainer</t>
        </is>
      </c>
      <c r="D13" s="31" t="n">
        <v>500</v>
      </c>
      <c r="E13" s="30" t="inlineStr">
        <is>
          <t>Fortnightly</t>
        </is>
      </c>
    </row>
    <row r="14" ht="15" customHeight="1" s="25">
      <c r="A14" s="33" t="inlineStr">
        <is>
          <t>03/09/26</t>
        </is>
      </c>
      <c r="B14" s="30" t="inlineStr">
        <is>
          <t>Denzel Winterbeard</t>
        </is>
      </c>
      <c r="C14" s="30" t="inlineStr">
        <is>
          <t>Retainer</t>
        </is>
      </c>
      <c r="D14" s="31" t="n">
        <v>2500</v>
      </c>
      <c r="E14" s="30" t="inlineStr">
        <is>
          <t>Fortnightly; cadence re-anchored to Thursdays</t>
        </is>
      </c>
    </row>
    <row r="15" ht="15" customHeight="1" s="25">
      <c r="A15" s="33" t="inlineStr">
        <is>
          <t>03/09/26</t>
        </is>
      </c>
      <c r="B15" s="30" t="inlineStr">
        <is>
          <t>Holly</t>
        </is>
      </c>
      <c r="C15" s="30" t="inlineStr">
        <is>
          <t>Meta ad spend (AU)</t>
        </is>
      </c>
      <c r="D15" s="31" t="n">
        <v>149</v>
      </c>
      <c r="E15" s="30" t="n"/>
    </row>
    <row r="16" ht="15" customHeight="1" s="25">
      <c r="A16" s="33" t="inlineStr">
        <is>
          <t>01/09/26</t>
        </is>
      </c>
      <c r="B16" s="30" t="inlineStr">
        <is>
          <t>Holly</t>
        </is>
      </c>
      <c r="C16" s="30" t="inlineStr">
        <is>
          <t>Meta ad spend (AU)</t>
        </is>
      </c>
      <c r="D16" s="31" t="n">
        <v>149</v>
      </c>
      <c r="E16" s="30" t="n"/>
    </row>
    <row r="17" ht="15" customHeight="1" s="25">
      <c r="A17" s="33" t="inlineStr">
        <is>
          <t>31/08/26</t>
        </is>
      </c>
      <c r="B17" s="30" t="inlineStr">
        <is>
          <t>Holly</t>
        </is>
      </c>
      <c r="C17" s="30" t="inlineStr">
        <is>
          <t>Meta ad spend (AU)</t>
        </is>
      </c>
      <c r="D17" s="31" t="n">
        <v>135.85</v>
      </c>
      <c r="E17" s="30" t="inlineStr">
        <is>
          <t>gross $149.00 less $13.15 Ampra Job (recruitment)</t>
        </is>
      </c>
    </row>
    <row r="18" ht="15" customHeight="1" s="25">
      <c r="A18" s="33" t="inlineStr">
        <is>
          <t>29/08/26</t>
        </is>
      </c>
      <c r="B18" s="30" t="inlineStr">
        <is>
          <t>Holly</t>
        </is>
      </c>
      <c r="C18" s="30" t="inlineStr">
        <is>
          <t>Meta ad spend (AU)</t>
        </is>
      </c>
      <c r="D18" s="31" t="n">
        <v>123.78</v>
      </c>
      <c r="E18" s="30" t="inlineStr">
        <is>
          <t>gross $149.00 less $25.22 Ampra Job (recruitment)</t>
        </is>
      </c>
    </row>
    <row r="19" ht="15" customHeight="1" s="25">
      <c r="A19" s="33" t="inlineStr">
        <is>
          <t>28/08/26</t>
        </is>
      </c>
      <c r="B19" s="30" t="inlineStr">
        <is>
          <t>Holly</t>
        </is>
      </c>
      <c r="C19" s="30" t="inlineStr">
        <is>
          <t>Meta ad spend (AU)</t>
        </is>
      </c>
      <c r="D19" s="31" t="n">
        <v>126.11</v>
      </c>
      <c r="E19" s="30" t="inlineStr">
        <is>
          <t>gross $149.00 less $22.89 Ampra Job (recruitment)</t>
        </is>
      </c>
    </row>
    <row r="20" ht="15" customHeight="1" s="25">
      <c r="A20" s="33" t="inlineStr">
        <is>
          <t>27/08/26</t>
        </is>
      </c>
      <c r="B20" s="30" t="inlineStr">
        <is>
          <t>Holly</t>
        </is>
      </c>
      <c r="C20" s="30" t="inlineStr">
        <is>
          <t>Meta ad spend (AU)</t>
        </is>
      </c>
      <c r="D20" s="31" t="n">
        <v>112.98</v>
      </c>
      <c r="E20" s="30" t="inlineStr">
        <is>
          <t>gross $149.00 less $36.02 Ampra Job (recruitment)</t>
        </is>
      </c>
    </row>
    <row r="21" ht="15" customHeight="1" s="25">
      <c r="A21" s="33" t="inlineStr">
        <is>
          <t>25/08/26</t>
        </is>
      </c>
      <c r="B21" s="30" t="inlineStr">
        <is>
          <t>Holly</t>
        </is>
      </c>
      <c r="C21" s="30" t="inlineStr">
        <is>
          <t>Meta ad spend (AU)</t>
        </is>
      </c>
      <c r="D21" s="31" t="n">
        <v>106.44</v>
      </c>
      <c r="E21" s="30" t="inlineStr">
        <is>
          <t>gross $149.00 less $42.56 Ampra Job (recruitment)</t>
        </is>
      </c>
    </row>
    <row r="22" ht="15" customHeight="1" s="25">
      <c r="A22" s="33" t="inlineStr">
        <is>
          <t>23/08/26</t>
        </is>
      </c>
      <c r="B22" s="30" t="inlineStr">
        <is>
          <t>Denzel Winterbeard</t>
        </is>
      </c>
      <c r="C22" s="30" t="inlineStr">
        <is>
          <t>Retainer</t>
        </is>
      </c>
      <c r="D22" s="31" t="n">
        <v>2500</v>
      </c>
      <c r="E22" s="30" t="n"/>
    </row>
    <row r="23" ht="15" customHeight="1" s="25">
      <c r="A23" s="33" t="inlineStr">
        <is>
          <t>23/08/26</t>
        </is>
      </c>
      <c r="B23" s="30" t="inlineStr">
        <is>
          <t>Holly</t>
        </is>
      </c>
      <c r="C23" s="30" t="inlineStr">
        <is>
          <t>Meta ad spend (AU)</t>
        </is>
      </c>
      <c r="D23" s="31" t="n">
        <v>116.59</v>
      </c>
      <c r="E23" s="30" t="inlineStr">
        <is>
          <t>gross $149.00 less $32.41 Ampra Job (recruitment)</t>
        </is>
      </c>
    </row>
    <row r="24" ht="15" customHeight="1" s="25">
      <c r="A24" s="33" t="inlineStr">
        <is>
          <t>21/08/26</t>
        </is>
      </c>
      <c r="B24" s="30" t="inlineStr">
        <is>
          <t>Holly</t>
        </is>
      </c>
      <c r="C24" s="30" t="inlineStr">
        <is>
          <t>Retainer</t>
        </is>
      </c>
      <c r="D24" s="31" t="n">
        <v>500</v>
      </c>
      <c r="E24" s="30" t="n"/>
    </row>
    <row r="25" ht="15" customHeight="1" s="25">
      <c r="A25" s="33" t="inlineStr">
        <is>
          <t>21/08/26</t>
        </is>
      </c>
      <c r="B25" s="30" t="inlineStr">
        <is>
          <t>Holly</t>
        </is>
      </c>
      <c r="C25" s="30" t="inlineStr">
        <is>
          <t>Meta ad spend (AU)</t>
        </is>
      </c>
      <c r="D25" s="31" t="n">
        <v>127.94</v>
      </c>
      <c r="E25" s="30" t="inlineStr">
        <is>
          <t>gross $149.00 less $21.06 Ampra Job (recruitment)</t>
        </is>
      </c>
    </row>
    <row r="26" ht="15" customHeight="1" s="25">
      <c r="A26" s="33" t="inlineStr">
        <is>
          <t>20/08/26</t>
        </is>
      </c>
      <c r="B26" s="30" t="inlineStr">
        <is>
          <t>Holly</t>
        </is>
      </c>
      <c r="C26" s="30" t="inlineStr">
        <is>
          <t>Meta ad spend (AU)</t>
        </is>
      </c>
      <c r="D26" s="31" t="n">
        <v>37.53</v>
      </c>
      <c r="E26" s="30" t="inlineStr">
        <is>
          <t>gross $41.58 less $4.05 Ampra Job (recruitment)</t>
        </is>
      </c>
    </row>
    <row r="27" ht="15" customHeight="1" s="25">
      <c r="A27" s="33" t="inlineStr">
        <is>
          <t>20/08/26</t>
        </is>
      </c>
      <c r="B27" s="30" t="inlineStr">
        <is>
          <t>Holly</t>
        </is>
      </c>
      <c r="C27" s="30" t="inlineStr">
        <is>
          <t>Meta ad spend (AU)</t>
        </is>
      </c>
      <c r="D27" s="31" t="n">
        <v>129.64</v>
      </c>
      <c r="E27" s="30" t="inlineStr">
        <is>
          <t>sub-threshold; billed 19/08 UTC = 20/08 AEST</t>
        </is>
      </c>
    </row>
    <row r="28" ht="15" customHeight="1" s="25">
      <c r="A28" s="33" t="inlineStr">
        <is>
          <t>18/08/26</t>
        </is>
      </c>
      <c r="B28" s="30" t="inlineStr">
        <is>
          <t>Holly</t>
        </is>
      </c>
      <c r="C28" s="30" t="inlineStr">
        <is>
          <t>Meta ad spend (AU)</t>
        </is>
      </c>
      <c r="D28" s="31" t="n">
        <v>149</v>
      </c>
      <c r="E28" s="30" t="n"/>
    </row>
    <row r="29" ht="15" customHeight="1" s="25">
      <c r="A29" s="33" t="inlineStr">
        <is>
          <t>17/08/26</t>
        </is>
      </c>
      <c r="B29" s="30" t="inlineStr">
        <is>
          <t>Holly</t>
        </is>
      </c>
      <c r="C29" s="30" t="inlineStr">
        <is>
          <t>Meta ad spend (NZ)</t>
        </is>
      </c>
      <c r="D29" s="31" t="n">
        <v>252.03</v>
      </c>
      <c r="E29" s="30" t="inlineStr">
        <is>
          <t>NZ$302.56 at 0.8330 (rate locked at the date struck)</t>
        </is>
      </c>
    </row>
    <row r="30" ht="15" customHeight="1" s="25">
      <c r="A30" s="33" t="inlineStr">
        <is>
          <t>16/08/26</t>
        </is>
      </c>
      <c r="B30" s="30" t="inlineStr">
        <is>
          <t>Holly</t>
        </is>
      </c>
      <c r="C30" s="30" t="inlineStr">
        <is>
          <t>Meta ad spend (AU)</t>
        </is>
      </c>
      <c r="D30" s="31" t="n">
        <v>149</v>
      </c>
      <c r="E30" s="30" t="n"/>
    </row>
    <row r="31" ht="15" customHeight="1" s="25">
      <c r="A31" s="33" t="inlineStr">
        <is>
          <t>14/08/26</t>
        </is>
      </c>
      <c r="B31" s="30" t="inlineStr">
        <is>
          <t>Holly</t>
        </is>
      </c>
      <c r="C31" s="30" t="inlineStr">
        <is>
          <t>Meta ad spend (AU)</t>
        </is>
      </c>
      <c r="D31" s="31" t="n">
        <v>149</v>
      </c>
      <c r="E31" s="30" t="n"/>
    </row>
    <row r="32" ht="15" customHeight="1" s="25">
      <c r="A32" s="33" t="inlineStr">
        <is>
          <t>12/08/26</t>
        </is>
      </c>
      <c r="B32" s="30" t="inlineStr">
        <is>
          <t>Holly</t>
        </is>
      </c>
      <c r="C32" s="30" t="inlineStr">
        <is>
          <t>Meta ad spend (AU)</t>
        </is>
      </c>
      <c r="D32" s="31" t="n">
        <v>149</v>
      </c>
      <c r="E32" s="30" t="n"/>
    </row>
    <row r="33" ht="15" customHeight="1" s="25">
      <c r="A33" s="33" t="inlineStr">
        <is>
          <t>10/08/26</t>
        </is>
      </c>
      <c r="B33" s="30" t="inlineStr">
        <is>
          <t>Holly</t>
        </is>
      </c>
      <c r="C33" s="30" t="inlineStr">
        <is>
          <t>Meta ad spend (AU)</t>
        </is>
      </c>
      <c r="D33" s="31" t="n">
        <v>149</v>
      </c>
      <c r="E33" s="30" t="n"/>
    </row>
    <row r="34" ht="15" customHeight="1" s="25">
      <c r="A34" s="33" t="inlineStr">
        <is>
          <t>09/08/26</t>
        </is>
      </c>
      <c r="B34" s="30" t="inlineStr">
        <is>
          <t>Denzel Winterbeard</t>
        </is>
      </c>
      <c r="C34" s="30" t="inlineStr">
        <is>
          <t>Retainer</t>
        </is>
      </c>
      <c r="D34" s="31" t="n">
        <v>2500</v>
      </c>
      <c r="E34" s="30" t="n"/>
    </row>
    <row r="35" ht="15" customHeight="1" s="25">
      <c r="A35" s="33" t="inlineStr">
        <is>
          <t>09/08/26</t>
        </is>
      </c>
      <c r="B35" s="30" t="inlineStr">
        <is>
          <t>Hugo</t>
        </is>
      </c>
      <c r="C35" s="30" t="inlineStr">
        <is>
          <t>Retainer</t>
        </is>
      </c>
      <c r="D35" s="31" t="n">
        <v>1250</v>
      </c>
      <c r="E35" s="30" t="inlineStr">
        <is>
          <t>Final — ceased on moving to Sales Ops Manager</t>
        </is>
      </c>
    </row>
    <row r="36" ht="15" customHeight="1" s="25">
      <c r="A36" s="33" t="inlineStr">
        <is>
          <t>09/08/26</t>
        </is>
      </c>
      <c r="B36" s="30" t="inlineStr">
        <is>
          <t>Holly</t>
        </is>
      </c>
      <c r="C36" s="30" t="inlineStr">
        <is>
          <t>Meta ad spend (AU)</t>
        </is>
      </c>
      <c r="D36" s="31" t="n">
        <v>149</v>
      </c>
      <c r="E36" s="30" t="n"/>
    </row>
    <row r="37" ht="15" customHeight="1" s="25">
      <c r="A37" s="33" t="inlineStr">
        <is>
          <t>07/08/26</t>
        </is>
      </c>
      <c r="B37" s="30" t="inlineStr">
        <is>
          <t>Holly</t>
        </is>
      </c>
      <c r="C37" s="30" t="inlineStr">
        <is>
          <t>Retainer</t>
        </is>
      </c>
      <c r="D37" s="31" t="n">
        <v>500</v>
      </c>
      <c r="E37" s="30" t="n"/>
    </row>
    <row r="38" ht="15" customHeight="1" s="25">
      <c r="A38" s="33" t="inlineStr">
        <is>
          <t>07/08/26</t>
        </is>
      </c>
      <c r="B38" s="30" t="inlineStr">
        <is>
          <t>Holly</t>
        </is>
      </c>
      <c r="C38" s="30" t="inlineStr">
        <is>
          <t>Meta ad spend (AU)</t>
        </is>
      </c>
      <c r="D38" s="31" t="n">
        <v>149</v>
      </c>
      <c r="E38" s="30" t="n"/>
    </row>
    <row r="39" ht="15" customHeight="1" s="25">
      <c r="A39" s="33" t="inlineStr">
        <is>
          <t>05/08/26</t>
        </is>
      </c>
      <c r="B39" s="30" t="inlineStr">
        <is>
          <t>Holly</t>
        </is>
      </c>
      <c r="C39" s="30" t="inlineStr">
        <is>
          <t>Meta ad spend (AU)</t>
        </is>
      </c>
      <c r="D39" s="31" t="n">
        <v>149</v>
      </c>
      <c r="E39" s="30" t="n"/>
    </row>
    <row r="40" ht="15" customHeight="1" s="25">
      <c r="A40" s="33" t="inlineStr">
        <is>
          <t>03/08/26</t>
        </is>
      </c>
      <c r="B40" s="30" t="inlineStr">
        <is>
          <t>Holly</t>
        </is>
      </c>
      <c r="C40" s="30" t="inlineStr">
        <is>
          <t>Meta ad spend (AU)</t>
        </is>
      </c>
      <c r="D40" s="31" t="n">
        <v>149</v>
      </c>
      <c r="E40" s="30" t="n"/>
    </row>
    <row r="41" ht="15" customHeight="1" s="25">
      <c r="A41" s="33" t="inlineStr">
        <is>
          <t>02/08/26</t>
        </is>
      </c>
      <c r="B41" s="30" t="inlineStr">
        <is>
          <t>Holly</t>
        </is>
      </c>
      <c r="C41" s="30" t="inlineStr">
        <is>
          <t>Meta ad spend (AU)</t>
        </is>
      </c>
      <c r="D41" s="31" t="n">
        <v>149</v>
      </c>
      <c r="E41" s="30" t="n"/>
    </row>
    <row r="42" ht="15" customHeight="1" s="25">
      <c r="A42" s="33" t="inlineStr">
        <is>
          <t>01/08/26</t>
        </is>
      </c>
      <c r="B42" s="30" t="inlineStr">
        <is>
          <t>Holly</t>
        </is>
      </c>
      <c r="C42" s="30" t="inlineStr">
        <is>
          <t>Meta ad spend (AU)</t>
        </is>
      </c>
      <c r="D42" s="31" t="n">
        <v>149</v>
      </c>
      <c r="E42" s="30" t="n"/>
    </row>
    <row r="43" ht="15" customHeight="1" s="25">
      <c r="A43" s="33" t="inlineStr">
        <is>
          <t>30/07/26</t>
        </is>
      </c>
      <c r="B43" s="30" t="inlineStr">
        <is>
          <t>Holly</t>
        </is>
      </c>
      <c r="C43" s="30" t="inlineStr">
        <is>
          <t>Meta ad spend (AU)</t>
        </is>
      </c>
      <c r="D43" s="31" t="n">
        <v>149</v>
      </c>
      <c r="E43" s="30" t="n"/>
    </row>
    <row r="44" ht="15" customHeight="1" s="25">
      <c r="A44" s="33" t="inlineStr">
        <is>
          <t>29/07/26</t>
        </is>
      </c>
      <c r="B44" s="30" t="inlineStr">
        <is>
          <t>Holly</t>
        </is>
      </c>
      <c r="C44" s="30" t="inlineStr">
        <is>
          <t>Meta ad spend (AU)</t>
        </is>
      </c>
      <c r="D44" s="31" t="n">
        <v>149</v>
      </c>
      <c r="E44" s="30" t="n"/>
    </row>
    <row r="45" ht="15" customHeight="1" s="25">
      <c r="A45" s="33" t="inlineStr">
        <is>
          <t>26/07/26</t>
        </is>
      </c>
      <c r="B45" s="30" t="inlineStr">
        <is>
          <t>Denzel Winterbeard</t>
        </is>
      </c>
      <c r="C45" s="30" t="inlineStr">
        <is>
          <t>Retainer</t>
        </is>
      </c>
      <c r="D45" s="31" t="n">
        <v>2500</v>
      </c>
      <c r="E45" s="30" t="n"/>
    </row>
    <row r="46" ht="15" customHeight="1" s="25">
      <c r="A46" s="33" t="inlineStr">
        <is>
          <t>26/07/26</t>
        </is>
      </c>
      <c r="B46" s="30" t="inlineStr">
        <is>
          <t>Hugo</t>
        </is>
      </c>
      <c r="C46" s="30" t="inlineStr">
        <is>
          <t>Retainer</t>
        </is>
      </c>
      <c r="D46" s="31" t="n">
        <v>2000</v>
      </c>
      <c r="E46" s="30" t="inlineStr">
        <is>
          <t>Two days unpaid leave</t>
        </is>
      </c>
    </row>
    <row r="47" ht="15" customHeight="1" s="25">
      <c r="A47" s="33" t="inlineStr">
        <is>
          <t>26/07/26</t>
        </is>
      </c>
      <c r="B47" s="30" t="inlineStr">
        <is>
          <t>Holly</t>
        </is>
      </c>
      <c r="C47" s="30" t="inlineStr">
        <is>
          <t>Meta ad spend (AU)</t>
        </is>
      </c>
      <c r="D47" s="31" t="n">
        <v>149</v>
      </c>
      <c r="E47" s="30" t="n"/>
    </row>
    <row r="48" ht="15" customHeight="1" s="25">
      <c r="A48" s="33" t="inlineStr">
        <is>
          <t>24/07/26</t>
        </is>
      </c>
      <c r="B48" s="30" t="inlineStr">
        <is>
          <t>Holly</t>
        </is>
      </c>
      <c r="C48" s="30" t="inlineStr">
        <is>
          <t>Retainer</t>
        </is>
      </c>
      <c r="D48" s="31" t="n">
        <v>750</v>
      </c>
      <c r="E48" s="30" t="inlineStr">
        <is>
          <t>First draw</t>
        </is>
      </c>
    </row>
    <row r="49" ht="15" customHeight="1" s="25">
      <c r="A49" s="33" t="inlineStr">
        <is>
          <t>24/07/26</t>
        </is>
      </c>
      <c r="B49" s="30" t="inlineStr">
        <is>
          <t>Holly</t>
        </is>
      </c>
      <c r="C49" s="30" t="inlineStr">
        <is>
          <t>Meta ad spend (AU)</t>
        </is>
      </c>
      <c r="D49" s="31" t="n">
        <v>149</v>
      </c>
      <c r="E49" s="30" t="n"/>
    </row>
    <row r="50" ht="15" customHeight="1" s="25">
      <c r="A50" s="33" t="inlineStr">
        <is>
          <t>22/07/26</t>
        </is>
      </c>
      <c r="B50" s="30" t="inlineStr">
        <is>
          <t>Holly</t>
        </is>
      </c>
      <c r="C50" s="30" t="inlineStr">
        <is>
          <t>Meta ad spend (AU)</t>
        </is>
      </c>
      <c r="D50" s="31" t="n">
        <v>149</v>
      </c>
      <c r="E50" s="30" t="inlineStr">
        <is>
          <t>billing period 19/07–22/07 straddles the 20/07 baseline — included in full</t>
        </is>
      </c>
    </row>
    <row r="51">
      <c r="A51" s="34" t="inlineStr">
        <is>
          <t>TOTAL DRAWN</t>
        </is>
      </c>
      <c r="B51" s="44" t="n"/>
      <c r="C51" s="44" t="n"/>
      <c r="D51" s="35">
        <f>SUM(D13:D50)</f>
        <v/>
      </c>
      <c r="E51" s="44" t="inlineStr">
        <is>
          <t>Must equal the Dashboard 'Retainer + Ad Spend' total</t>
        </is>
      </c>
    </row>
    <row r="52">
      <c r="A52" s="34" t="inlineStr">
        <is>
          <t>CHECK</t>
        </is>
      </c>
      <c r="B52" s="44" t="n"/>
      <c r="C52" s="44" t="n"/>
      <c r="D52" s="35">
        <f>D51-'📊 Dashboard'!D10</f>
        <v/>
      </c>
      <c r="E52" s="44" t="inlineStr">
        <is>
          <t>Zero means the two tabs agree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8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4" min="1" max="1"/>
    <col width="44" customWidth="1" style="24" min="2" max="2"/>
    <col width="11" customWidth="1" style="24" min="3" max="4"/>
    <col width="18" customWidth="1" style="24" min="5" max="5"/>
    <col width="16" customWidth="1" style="24" min="6" max="7"/>
    <col width="18" customWidth="1" style="24" min="8" max="8"/>
    <col width="16" customWidth="1" style="24" min="9" max="9"/>
    <col width="17" customWidth="1" style="24" min="10" max="10"/>
    <col width="14" customWidth="1" style="24" min="11" max="11"/>
    <col width="52" customWidth="1" style="24" min="12" max="12"/>
  </cols>
  <sheetData>
    <row r="1" ht="17.35" customHeight="1" s="25">
      <c r="A1" s="26" t="inlineStr">
        <is>
          <t>Xero reconciliation — Commission Payable is the baseline</t>
        </is>
      </c>
    </row>
    <row r="2" ht="15" customHeight="1" s="25">
      <c r="A2" s="27" t="inlineStr">
        <is>
          <t>HubSpot pull 09/09/26 · reset baseline 20/07/26 · ad spend to 03/09/26</t>
        </is>
      </c>
    </row>
    <row r="4" ht="30" customHeight="1" s="25">
      <c r="A4" s="28" t="inlineStr">
        <is>
          <t>SON</t>
        </is>
      </c>
      <c r="B4" s="28" t="inlineStr">
        <is>
          <t>Deal</t>
        </is>
      </c>
      <c r="C4" s="28" t="inlineStr">
        <is>
          <t>Installed</t>
        </is>
      </c>
      <c r="D4" s="28" t="inlineStr">
        <is>
          <t>Era</t>
        </is>
      </c>
      <c r="E4" s="28" t="inlineStr">
        <is>
          <t>Xero Revenue (GST excl.)</t>
        </is>
      </c>
      <c r="F4" s="28" t="inlineStr">
        <is>
          <t>Formbay over/under</t>
        </is>
      </c>
      <c r="G4" s="28" t="inlineStr">
        <is>
          <t>Finance fee impact</t>
        </is>
      </c>
      <c r="H4" s="28" t="inlineStr">
        <is>
          <t>Net Revenue (GST excl.)</t>
        </is>
      </c>
      <c r="I4" s="28" t="inlineStr">
        <is>
          <t>10% of Net Revenue</t>
        </is>
      </c>
      <c r="J4" s="28" t="inlineStr">
        <is>
          <t>Commission Payable</t>
        </is>
      </c>
      <c r="K4" s="28" t="inlineStr">
        <is>
          <t>Variance</t>
        </is>
      </c>
      <c r="L4" s="28" t="inlineStr">
        <is>
          <t>Flag</t>
        </is>
      </c>
    </row>
    <row r="5" ht="15" customHeight="1" s="25">
      <c r="A5" s="39" t="inlineStr">
        <is>
          <t>250626.DWB01</t>
        </is>
      </c>
      <c r="B5" s="40" t="inlineStr">
        <is>
          <t>Brenda Walker - 6 Jubilee Street Maclean NSW 2463</t>
        </is>
      </c>
      <c r="C5" s="41" t="inlineStr">
        <is>
          <t>07/08/26</t>
        </is>
      </c>
      <c r="D5" s="41" t="inlineStr">
        <is>
          <t>current</t>
        </is>
      </c>
      <c r="E5" s="43" t="n">
        <v>17846.36</v>
      </c>
      <c r="F5" s="43" t="n">
        <v>311.14</v>
      </c>
      <c r="G5" s="43" t="n">
        <v>0</v>
      </c>
      <c r="H5" s="43" t="n">
        <v>18157.5</v>
      </c>
      <c r="I5" s="43">
        <f>H5*0.1</f>
        <v/>
      </c>
      <c r="J5" s="43" t="n">
        <v>907.88</v>
      </c>
      <c r="K5" s="43">
        <f>J5-I5</f>
        <v/>
      </c>
      <c r="L5" s="40" t="inlineStr">
        <is>
          <t>Customer referral — no lead gen half ($453.94)</t>
        </is>
      </c>
    </row>
    <row r="6" ht="15" customHeight="1" s="25">
      <c r="A6" s="37" t="inlineStr">
        <is>
          <t>140526.DWB01</t>
        </is>
      </c>
      <c r="B6" s="30" t="inlineStr">
        <is>
          <t>Jenny Real - 37 Stratheden Street Kyogle NSW 2474</t>
        </is>
      </c>
      <c r="C6" s="33" t="inlineStr">
        <is>
          <t>03/08/26</t>
        </is>
      </c>
      <c r="D6" s="33" t="inlineStr">
        <is>
          <t>current</t>
        </is>
      </c>
      <c r="E6" s="31" t="n">
        <v>6071.82</v>
      </c>
      <c r="F6" s="31" t="n">
        <v>144.09</v>
      </c>
      <c r="G6" s="31" t="n">
        <v>0</v>
      </c>
      <c r="H6" s="31" t="n">
        <v>6215.91</v>
      </c>
      <c r="I6" s="31">
        <f>H6*0.1</f>
        <v/>
      </c>
      <c r="J6" s="31" t="n">
        <v>621.59</v>
      </c>
      <c r="K6" s="31">
        <f>J6-I6</f>
        <v/>
      </c>
      <c r="L6" s="30" t="n"/>
    </row>
    <row r="7" ht="15" customHeight="1" s="25">
      <c r="A7" s="37" t="inlineStr">
        <is>
          <t>230426.JS02</t>
        </is>
      </c>
      <c r="B7" s="30" t="inlineStr">
        <is>
          <t>Amanda Bernauer - 20 Inverell Road Warialda NSW 2402</t>
        </is>
      </c>
      <c r="C7" s="33" t="inlineStr">
        <is>
          <t>25/07/26</t>
        </is>
      </c>
      <c r="D7" s="33" t="inlineStr">
        <is>
          <t>current</t>
        </is>
      </c>
      <c r="E7" s="31" t="n">
        <v>32140.91</v>
      </c>
      <c r="F7" s="31" t="n">
        <v>-355.5</v>
      </c>
      <c r="G7" s="31" t="n">
        <v>-5082.17</v>
      </c>
      <c r="H7" s="31" t="n">
        <v>26703.24</v>
      </c>
      <c r="I7" s="31">
        <f>H7*0.1</f>
        <v/>
      </c>
      <c r="J7" s="31" t="n">
        <v>2670.32</v>
      </c>
      <c r="K7" s="31">
        <f>J7-I7</f>
        <v/>
      </c>
      <c r="L7" s="30" t="n"/>
    </row>
    <row r="8" ht="15" customHeight="1" s="25">
      <c r="A8" s="37" t="inlineStr">
        <is>
          <t>240526.JS01</t>
        </is>
      </c>
      <c r="B8" s="30" t="inlineStr">
        <is>
          <t>Connie Minos - 1349 Bonshaw Road Ashford NSW 2361</t>
        </is>
      </c>
      <c r="C8" s="33" t="inlineStr">
        <is>
          <t>24/07/26</t>
        </is>
      </c>
      <c r="D8" s="33" t="inlineStr">
        <is>
          <t>current</t>
        </is>
      </c>
      <c r="E8" s="31" t="n">
        <v>61751.82</v>
      </c>
      <c r="F8" s="31" t="n">
        <v>627.64</v>
      </c>
      <c r="G8" s="31" t="n">
        <v>0</v>
      </c>
      <c r="H8" s="31" t="n">
        <v>62379.46</v>
      </c>
      <c r="I8" s="31">
        <f>H8*0.1</f>
        <v/>
      </c>
      <c r="J8" s="31" t="n">
        <v>6237.95</v>
      </c>
      <c r="K8" s="31">
        <f>J8-I8</f>
        <v/>
      </c>
      <c r="L8" s="30" t="n"/>
    </row>
    <row r="9" ht="15" customHeight="1" s="25">
      <c r="A9" s="37" t="inlineStr">
        <is>
          <t>130726.HS01</t>
        </is>
      </c>
      <c r="B9" s="30" t="inlineStr">
        <is>
          <t>Jane Armitage - 8/18 Gwydir Terrace Bingara NSW 2404</t>
        </is>
      </c>
      <c r="C9" s="33" t="inlineStr">
        <is>
          <t>24/07/26</t>
        </is>
      </c>
      <c r="D9" s="33" t="inlineStr">
        <is>
          <t>current</t>
        </is>
      </c>
      <c r="E9" s="31" t="n">
        <v>17942.73</v>
      </c>
      <c r="F9" s="31" t="n">
        <v>133</v>
      </c>
      <c r="G9" s="31" t="n">
        <v>0</v>
      </c>
      <c r="H9" s="31" t="n">
        <v>18075.73</v>
      </c>
      <c r="I9" s="31">
        <f>H9*0.1</f>
        <v/>
      </c>
      <c r="J9" s="31" t="n">
        <v>1807.57</v>
      </c>
      <c r="K9" s="31">
        <f>J9-I9</f>
        <v/>
      </c>
      <c r="L9" s="30" t="n"/>
    </row>
    <row r="10" ht="15" customHeight="1" s="25">
      <c r="A10" s="37" t="inlineStr">
        <is>
          <t>190626.DWB03</t>
        </is>
      </c>
      <c r="B10" s="30" t="inlineStr">
        <is>
          <t>Jennifer Baker - 106 Alma Street Wee Waa NSW 2388</t>
        </is>
      </c>
      <c r="C10" s="33" t="inlineStr">
        <is>
          <t>23/07/26</t>
        </is>
      </c>
      <c r="D10" s="33" t="inlineStr">
        <is>
          <t>current</t>
        </is>
      </c>
      <c r="E10" s="31" t="n">
        <v>17942.73</v>
      </c>
      <c r="F10" s="31" t="n">
        <v>161.82</v>
      </c>
      <c r="G10" s="31" t="n">
        <v>0</v>
      </c>
      <c r="H10" s="31" t="n">
        <v>18104.55</v>
      </c>
      <c r="I10" s="31">
        <f>H10*0.1</f>
        <v/>
      </c>
      <c r="J10" s="31" t="n">
        <v>1810.46</v>
      </c>
      <c r="K10" s="31">
        <f>J10-I10</f>
        <v/>
      </c>
      <c r="L10" s="30" t="n"/>
    </row>
    <row r="11" ht="15" customHeight="1" s="25">
      <c r="A11" s="37" t="inlineStr">
        <is>
          <t>170626.DWB01</t>
        </is>
      </c>
      <c r="B11" s="30" t="inlineStr">
        <is>
          <t>Paul &amp; Judy Couley - 92 Boundary Street Wee Waa NSW 2388</t>
        </is>
      </c>
      <c r="C11" s="33" t="inlineStr">
        <is>
          <t>23/07/26</t>
        </is>
      </c>
      <c r="D11" s="33" t="inlineStr">
        <is>
          <t>current</t>
        </is>
      </c>
      <c r="E11" s="31" t="n">
        <v>25673.64</v>
      </c>
      <c r="F11" s="31" t="n">
        <v>613.45</v>
      </c>
      <c r="G11" s="31" t="n">
        <v>-4240.43</v>
      </c>
      <c r="H11" s="31" t="n">
        <v>22046.66</v>
      </c>
      <c r="I11" s="31">
        <f>H11*0.1</f>
        <v/>
      </c>
      <c r="J11" s="31" t="n">
        <v>2204.67</v>
      </c>
      <c r="K11" s="31">
        <f>J11-I11</f>
        <v/>
      </c>
      <c r="L11" s="30" t="n"/>
    </row>
    <row r="12" ht="15" customHeight="1" s="25">
      <c r="A12" s="37" t="inlineStr">
        <is>
          <t>190626.DWB01</t>
        </is>
      </c>
      <c r="B12" s="30" t="inlineStr">
        <is>
          <t>Katie Young - 66 Dangar Street Narrabri NSW 2390</t>
        </is>
      </c>
      <c r="C12" s="33" t="inlineStr">
        <is>
          <t>22/07/26</t>
        </is>
      </c>
      <c r="D12" s="33" t="inlineStr">
        <is>
          <t>current</t>
        </is>
      </c>
      <c r="E12" s="31" t="n">
        <v>31083.64</v>
      </c>
      <c r="F12" s="31" t="n">
        <v>525.09</v>
      </c>
      <c r="G12" s="31" t="n">
        <v>-4923.33</v>
      </c>
      <c r="H12" s="31" t="n">
        <v>26685.4</v>
      </c>
      <c r="I12" s="31">
        <f>H12*0.1</f>
        <v/>
      </c>
      <c r="J12" s="31" t="n">
        <v>2668.54</v>
      </c>
      <c r="K12" s="31">
        <f>J12-I12</f>
        <v/>
      </c>
      <c r="L12" s="30" t="n"/>
    </row>
    <row r="13" ht="15" customHeight="1" s="25">
      <c r="A13" s="37" t="inlineStr">
        <is>
          <t>180526.DWB02</t>
        </is>
      </c>
      <c r="B13" s="30" t="inlineStr">
        <is>
          <t>Christine &amp; Peter Broderick - 24 Frazer Street Ashford NSW 2361</t>
        </is>
      </c>
      <c r="C13" s="33" t="inlineStr">
        <is>
          <t>22/07/26</t>
        </is>
      </c>
      <c r="D13" s="33" t="inlineStr">
        <is>
          <t>current</t>
        </is>
      </c>
      <c r="E13" s="31" t="n">
        <v>6876.36</v>
      </c>
      <c r="F13" s="31" t="n">
        <v>-416</v>
      </c>
      <c r="G13" s="31" t="n">
        <v>0</v>
      </c>
      <c r="H13" s="31" t="n">
        <v>6460.36</v>
      </c>
      <c r="I13" s="31">
        <f>H13*0.1</f>
        <v/>
      </c>
      <c r="J13" s="31" t="n">
        <v>646.04</v>
      </c>
      <c r="K13" s="31">
        <f>J13-I13</f>
        <v/>
      </c>
      <c r="L13" s="30" t="n"/>
    </row>
    <row r="14" ht="15" customHeight="1" s="25">
      <c r="A14" s="37" t="inlineStr">
        <is>
          <t>120626.JS01</t>
        </is>
      </c>
      <c r="B14" s="30" t="inlineStr">
        <is>
          <t>Rebecca Hudson - 93 Main Street Clunes NSW 2480</t>
        </is>
      </c>
      <c r="C14" s="33" t="inlineStr">
        <is>
          <t>14/07/26</t>
        </is>
      </c>
      <c r="D14" s="33" t="inlineStr">
        <is>
          <t>pre-reset</t>
        </is>
      </c>
      <c r="E14" s="31" t="n">
        <v>26020.91</v>
      </c>
      <c r="F14" s="31" t="n">
        <v>-93.64</v>
      </c>
      <c r="G14" s="31" t="n">
        <v>-3960.3</v>
      </c>
      <c r="H14" s="31" t="n">
        <v>21966.97</v>
      </c>
      <c r="I14" s="31">
        <f>H14*0.1</f>
        <v/>
      </c>
      <c r="J14" s="31" t="n">
        <v>2196.7</v>
      </c>
      <c r="K14" s="31">
        <f>J14-I14</f>
        <v/>
      </c>
      <c r="L14" s="30" t="n"/>
    </row>
    <row r="15" ht="15" customHeight="1" s="25">
      <c r="A15" s="37" t="inlineStr">
        <is>
          <t>SSA039</t>
        </is>
      </c>
      <c r="B15" s="30" t="inlineStr">
        <is>
          <t>Cristopher Iquin - 5 Euro Way Djugun WA 6725</t>
        </is>
      </c>
      <c r="C15" s="33" t="inlineStr">
        <is>
          <t>13/07/26</t>
        </is>
      </c>
      <c r="D15" s="33" t="inlineStr">
        <is>
          <t>pre-reset</t>
        </is>
      </c>
      <c r="E15" s="31" t="n">
        <v>25739.09</v>
      </c>
      <c r="F15" s="31" t="n">
        <v>71.55</v>
      </c>
      <c r="G15" s="31" t="n">
        <v>-3741</v>
      </c>
      <c r="H15" s="31" t="n">
        <v>22069.64</v>
      </c>
      <c r="I15" s="31">
        <f>H15*0.1</f>
        <v/>
      </c>
      <c r="J15" s="31" t="n">
        <v>2206.96</v>
      </c>
      <c r="K15" s="31">
        <f>J15-I15</f>
        <v/>
      </c>
      <c r="L15" s="30" t="n"/>
    </row>
    <row r="16" ht="15" customHeight="1" s="25">
      <c r="A16" s="37" t="inlineStr">
        <is>
          <t>100626.JS01</t>
        </is>
      </c>
      <c r="B16" s="30" t="inlineStr">
        <is>
          <t>Georgina Kelly - 21 Puertollano Place Broome WA 6725</t>
        </is>
      </c>
      <c r="C16" s="33" t="inlineStr">
        <is>
          <t>10/07/26</t>
        </is>
      </c>
      <c r="D16" s="33" t="inlineStr">
        <is>
          <t>pre-reset</t>
        </is>
      </c>
      <c r="E16" s="31" t="n">
        <v>24920.36</v>
      </c>
      <c r="F16" s="31" t="n">
        <v>363.36</v>
      </c>
      <c r="G16" s="31" t="n">
        <v>-5088.48</v>
      </c>
      <c r="H16" s="31" t="n">
        <v>20195.24</v>
      </c>
      <c r="I16" s="31">
        <f>H16*0.1</f>
        <v/>
      </c>
      <c r="J16" s="31" t="n">
        <v>2019.52</v>
      </c>
      <c r="K16" s="31">
        <f>J16-I16</f>
        <v/>
      </c>
      <c r="L16" s="30" t="n"/>
    </row>
    <row r="17" ht="15" customHeight="1" s="25">
      <c r="A17" s="37" t="inlineStr">
        <is>
          <t>230526.DWB02</t>
        </is>
      </c>
      <c r="B17" s="30" t="inlineStr">
        <is>
          <t>Barry O'Farrell - 45 Frazer Street Ashford NSW 2361</t>
        </is>
      </c>
      <c r="C17" s="33" t="inlineStr">
        <is>
          <t>07/07/26</t>
        </is>
      </c>
      <c r="D17" s="33" t="inlineStr">
        <is>
          <t>pre-reset</t>
        </is>
      </c>
      <c r="E17" s="31" t="n">
        <v>24280.9</v>
      </c>
      <c r="F17" s="31" t="n">
        <v>335.73</v>
      </c>
      <c r="G17" s="31" t="n">
        <v>0</v>
      </c>
      <c r="H17" s="31" t="n">
        <v>24616.63</v>
      </c>
      <c r="I17" s="31">
        <f>H17*0.1</f>
        <v/>
      </c>
      <c r="J17" s="31" t="n">
        <v>2461.66</v>
      </c>
      <c r="K17" s="31">
        <f>J17-I17</f>
        <v/>
      </c>
      <c r="L17" s="30" t="n"/>
    </row>
    <row r="18" ht="15" customHeight="1" s="25">
      <c r="A18" s="37" t="inlineStr">
        <is>
          <t>190526.DWB04</t>
        </is>
      </c>
      <c r="B18" s="30" t="inlineStr">
        <is>
          <t>Beverly &amp; Graeme Voss - 3 David Street Ashford NSW 2361</t>
        </is>
      </c>
      <c r="C18" s="33" t="inlineStr">
        <is>
          <t>06/07/26</t>
        </is>
      </c>
      <c r="D18" s="33" t="inlineStr">
        <is>
          <t>pre-reset</t>
        </is>
      </c>
      <c r="E18" s="31" t="n">
        <v>29349.09</v>
      </c>
      <c r="F18" s="31" t="n">
        <v>625.8200000000001</v>
      </c>
      <c r="G18" s="31" t="n">
        <v>-4915.76</v>
      </c>
      <c r="H18" s="31" t="n">
        <v>25059.15</v>
      </c>
      <c r="I18" s="31">
        <f>H18*0.1</f>
        <v/>
      </c>
      <c r="J18" s="31" t="n">
        <v>2505.92</v>
      </c>
      <c r="K18" s="31">
        <f>J18-I18</f>
        <v/>
      </c>
      <c r="L18" s="30" t="n"/>
    </row>
    <row r="19" ht="15" customHeight="1" s="25">
      <c r="A19" s="37" t="inlineStr">
        <is>
          <t>060526.DWB01</t>
        </is>
      </c>
      <c r="B19" s="30" t="inlineStr">
        <is>
          <t>Craig Robinson- 14 Cedar Street Woodburn NSW 2472</t>
        </is>
      </c>
      <c r="C19" s="33" t="inlineStr">
        <is>
          <t>06/07/26</t>
        </is>
      </c>
      <c r="D19" s="33" t="inlineStr">
        <is>
          <t>pre-reset</t>
        </is>
      </c>
      <c r="E19" s="31" t="n">
        <v>17830</v>
      </c>
      <c r="F19" s="31" t="n">
        <v>-224.55</v>
      </c>
      <c r="G19" s="31" t="n">
        <v>0</v>
      </c>
      <c r="H19" s="31" t="n">
        <v>17605.45</v>
      </c>
      <c r="I19" s="31">
        <f>H19*0.1</f>
        <v/>
      </c>
      <c r="J19" s="31" t="n">
        <v>1760.55</v>
      </c>
      <c r="K19" s="31">
        <f>J19-I19</f>
        <v/>
      </c>
      <c r="L19" s="30" t="n"/>
    </row>
    <row r="20" ht="15" customHeight="1" s="25">
      <c r="A20" s="37" t="inlineStr">
        <is>
          <t>130526.JS01</t>
        </is>
      </c>
      <c r="B20" s="30" t="inlineStr">
        <is>
          <t>Daryl Boyd - 48 Martyn Street Ashford NSW 2361</t>
        </is>
      </c>
      <c r="C20" s="33" t="inlineStr">
        <is>
          <t>03/07/26</t>
        </is>
      </c>
      <c r="D20" s="33" t="inlineStr">
        <is>
          <t>pre-reset</t>
        </is>
      </c>
      <c r="E20" s="31" t="n">
        <v>22616.36</v>
      </c>
      <c r="F20" s="31" t="n">
        <v>-265.09</v>
      </c>
      <c r="G20" s="31" t="n">
        <v>0</v>
      </c>
      <c r="H20" s="31" t="n">
        <v>22351.27</v>
      </c>
      <c r="I20" s="31">
        <f>H20*0.1</f>
        <v/>
      </c>
      <c r="J20" s="31" t="n">
        <v>2235.13</v>
      </c>
      <c r="K20" s="31">
        <f>J20-I20</f>
        <v/>
      </c>
      <c r="L20" s="30" t="n"/>
    </row>
    <row r="21" ht="15" customHeight="1" s="25">
      <c r="A21" s="39" t="inlineStr">
        <is>
          <t>070426.DWB01</t>
        </is>
      </c>
      <c r="B21" s="40" t="inlineStr">
        <is>
          <t>Terry Moore - 6 Bank Street Woodburn NSW 2472</t>
        </is>
      </c>
      <c r="C21" s="41" t="inlineStr">
        <is>
          <t>03/07/26</t>
        </is>
      </c>
      <c r="D21" s="41" t="inlineStr">
        <is>
          <t>pre-reset</t>
        </is>
      </c>
      <c r="E21" s="43" t="n">
        <v>26706.37</v>
      </c>
      <c r="F21" s="43" t="n">
        <v>696.54</v>
      </c>
      <c r="G21" s="43" t="n">
        <v>0</v>
      </c>
      <c r="H21" s="43" t="n">
        <v>27402.91</v>
      </c>
      <c r="I21" s="43">
        <f>H21*0.1</f>
        <v/>
      </c>
      <c r="J21" s="43" t="n">
        <v>1370.15</v>
      </c>
      <c r="K21" s="43">
        <f>J21-I21</f>
        <v/>
      </c>
      <c r="L21" s="40" t="inlineStr">
        <is>
          <t>Pricing error — $2,500.00 deducted from Denzel on the commission slip</t>
        </is>
      </c>
    </row>
    <row r="22" ht="15" customHeight="1" s="25">
      <c r="A22" s="37" t="inlineStr">
        <is>
          <t>070526.DWB02</t>
        </is>
      </c>
      <c r="B22" s="30" t="inlineStr">
        <is>
          <t>Rosalee &amp; Greg Foran - 2 Bank Street Woodburn NSW 2471</t>
        </is>
      </c>
      <c r="C22" s="33" t="inlineStr">
        <is>
          <t>02/07/26</t>
        </is>
      </c>
      <c r="D22" s="33" t="inlineStr">
        <is>
          <t>pre-reset</t>
        </is>
      </c>
      <c r="E22" s="31" t="n">
        <v>27150</v>
      </c>
      <c r="F22" s="31" t="n">
        <v>188.36</v>
      </c>
      <c r="G22" s="31" t="n">
        <v>0</v>
      </c>
      <c r="H22" s="31" t="n">
        <v>27338.36</v>
      </c>
      <c r="I22" s="31">
        <f>H22*0.1</f>
        <v/>
      </c>
      <c r="J22" s="31" t="n">
        <v>2733.84</v>
      </c>
      <c r="K22" s="31">
        <f>J22-I22</f>
        <v/>
      </c>
      <c r="L22" s="30" t="n"/>
    </row>
    <row r="23" ht="15" customHeight="1" s="25">
      <c r="A23" s="37" t="inlineStr">
        <is>
          <t>100626.JS02</t>
        </is>
      </c>
      <c r="B23" s="30" t="inlineStr">
        <is>
          <t>Lee Achurch - 11 Myall Street Evans Head NSW 2473</t>
        </is>
      </c>
      <c r="C23" s="33" t="inlineStr">
        <is>
          <t>01/07/26</t>
        </is>
      </c>
      <c r="D23" s="33" t="inlineStr">
        <is>
          <t>pre-reset</t>
        </is>
      </c>
      <c r="E23" s="31" t="n">
        <v>11750</v>
      </c>
      <c r="F23" s="31" t="n">
        <v>-40.23</v>
      </c>
      <c r="G23" s="31" t="n">
        <v>0</v>
      </c>
      <c r="H23" s="31" t="n">
        <v>11709.77</v>
      </c>
      <c r="I23" s="31">
        <f>H23*0.1</f>
        <v/>
      </c>
      <c r="J23" s="31" t="n">
        <v>1170.98</v>
      </c>
      <c r="K23" s="31">
        <f>J23-I23</f>
        <v/>
      </c>
      <c r="L23" s="30" t="n"/>
    </row>
    <row r="24" ht="15" customHeight="1" s="25">
      <c r="A24" s="37" t="inlineStr">
        <is>
          <t>260526.DWB02</t>
        </is>
      </c>
      <c r="B24" s="30" t="inlineStr">
        <is>
          <t>Adrian Currell - 37 Cameron Street Maclean NSW 2463</t>
        </is>
      </c>
      <c r="C24" s="33" t="inlineStr">
        <is>
          <t>26/06/26</t>
        </is>
      </c>
      <c r="D24" s="33" t="inlineStr">
        <is>
          <t>pre-reset</t>
        </is>
      </c>
      <c r="E24" s="31" t="n">
        <v>14989.09</v>
      </c>
      <c r="F24" s="31" t="n">
        <v>23.27</v>
      </c>
      <c r="G24" s="31" t="n">
        <v>0</v>
      </c>
      <c r="H24" s="31" t="n">
        <v>15012.36</v>
      </c>
      <c r="I24" s="31">
        <f>H24*0.1</f>
        <v/>
      </c>
      <c r="J24" s="31" t="n">
        <v>1501.24</v>
      </c>
      <c r="K24" s="31">
        <f>J24-I24</f>
        <v/>
      </c>
      <c r="L24" s="30" t="n"/>
    </row>
    <row r="25" ht="15" customHeight="1" s="25">
      <c r="A25" s="37" t="inlineStr">
        <is>
          <t>160526.DWB01</t>
        </is>
      </c>
      <c r="B25" s="30" t="inlineStr">
        <is>
          <t>Christopher Hutton - 31 Boorabee Street Kyogle NSW 2474</t>
        </is>
      </c>
      <c r="C25" s="33" t="inlineStr">
        <is>
          <t>24/06/26</t>
        </is>
      </c>
      <c r="D25" s="33" t="inlineStr">
        <is>
          <t>pre-reset</t>
        </is>
      </c>
      <c r="E25" s="31" t="n">
        <v>18519.3</v>
      </c>
      <c r="F25" s="31" t="n">
        <v>-19.27</v>
      </c>
      <c r="G25" s="31" t="n">
        <v>0</v>
      </c>
      <c r="H25" s="31" t="n">
        <v>18500.03</v>
      </c>
      <c r="I25" s="31">
        <f>H25*0.1</f>
        <v/>
      </c>
      <c r="J25" s="31" t="n">
        <v>1850</v>
      </c>
      <c r="K25" s="31">
        <f>J25-I25</f>
        <v/>
      </c>
      <c r="L25" s="30" t="n"/>
    </row>
    <row r="26" ht="15" customHeight="1" s="25">
      <c r="A26" s="37" t="inlineStr">
        <is>
          <t>SSA040</t>
        </is>
      </c>
      <c r="B26" s="30" t="inlineStr">
        <is>
          <t>Don Wood - 11 Pembroke Road Broome WA 6725</t>
        </is>
      </c>
      <c r="C26" s="33" t="inlineStr">
        <is>
          <t>18/06/26</t>
        </is>
      </c>
      <c r="D26" s="33" t="inlineStr">
        <is>
          <t>pre-reset</t>
        </is>
      </c>
      <c r="E26" s="31" t="n">
        <v>63424.55</v>
      </c>
      <c r="F26" s="31" t="n">
        <v>1616</v>
      </c>
      <c r="G26" s="31" t="n">
        <v>-9847.73</v>
      </c>
      <c r="H26" s="31" t="n">
        <v>55192.82</v>
      </c>
      <c r="I26" s="31">
        <f>H26*0.1</f>
        <v/>
      </c>
      <c r="J26" s="31" t="n">
        <v>5519.28</v>
      </c>
      <c r="K26" s="31">
        <f>J26-I26</f>
        <v/>
      </c>
      <c r="L26" s="30" t="n"/>
    </row>
    <row r="27" ht="15" customHeight="1" s="25">
      <c r="A27" s="37" t="inlineStr">
        <is>
          <t>SSA043</t>
        </is>
      </c>
      <c r="B27" s="30" t="inlineStr">
        <is>
          <t>Ian Mcgrath - 6 Rivergum Avenue Broome WA 6725</t>
        </is>
      </c>
      <c r="C27" s="33" t="inlineStr">
        <is>
          <t>17/06/26</t>
        </is>
      </c>
      <c r="D27" s="33" t="inlineStr">
        <is>
          <t>pre-reset</t>
        </is>
      </c>
      <c r="E27" s="31" t="n">
        <v>44461.82</v>
      </c>
      <c r="F27" s="31" t="n">
        <v>989.09</v>
      </c>
      <c r="G27" s="31" t="n">
        <v>-6987.25</v>
      </c>
      <c r="H27" s="31" t="n">
        <v>38463.66</v>
      </c>
      <c r="I27" s="31">
        <f>H27*0.1</f>
        <v/>
      </c>
      <c r="J27" s="31" t="n">
        <v>3846.37</v>
      </c>
      <c r="K27" s="31">
        <f>J27-I27</f>
        <v/>
      </c>
      <c r="L27" s="30" t="n"/>
    </row>
    <row r="28" ht="15" customHeight="1" s="25">
      <c r="A28" s="37" t="inlineStr">
        <is>
          <t>SSA056</t>
        </is>
      </c>
      <c r="B28" s="30" t="inlineStr">
        <is>
          <t>Mick Prokopiwskyi - 9 McMillan Court Newborough VIC 3825</t>
        </is>
      </c>
      <c r="C28" s="33" t="inlineStr">
        <is>
          <t>15/06/26</t>
        </is>
      </c>
      <c r="D28" s="33" t="inlineStr">
        <is>
          <t>pre-reset</t>
        </is>
      </c>
      <c r="E28" s="31" t="n">
        <v>31957.27</v>
      </c>
      <c r="F28" s="31" t="n">
        <v>-1183.27</v>
      </c>
      <c r="G28" s="31" t="n">
        <v>0</v>
      </c>
      <c r="H28" s="31" t="n">
        <v>30774</v>
      </c>
      <c r="I28" s="31">
        <f>H28*0.1</f>
        <v/>
      </c>
      <c r="J28" s="31" t="n">
        <v>3077.4</v>
      </c>
      <c r="K28" s="31">
        <f>J28-I28</f>
        <v/>
      </c>
      <c r="L28" s="30" t="n"/>
    </row>
    <row r="29" ht="15" customHeight="1" s="25">
      <c r="A29" s="39" t="inlineStr">
        <is>
          <t>SSA041</t>
        </is>
      </c>
      <c r="B29" s="40" t="inlineStr">
        <is>
          <t>Allan Marks - 27 Hay Road Cable Beach WA 6726</t>
        </is>
      </c>
      <c r="C29" s="41" t="inlineStr">
        <is>
          <t>12/06/26</t>
        </is>
      </c>
      <c r="D29" s="41" t="inlineStr">
        <is>
          <t>pre-reset</t>
        </is>
      </c>
      <c r="E29" s="43" t="n">
        <v>21468.18</v>
      </c>
      <c r="F29" s="43" t="n">
        <v>-49.27</v>
      </c>
      <c r="G29" s="43" t="n">
        <v>0</v>
      </c>
      <c r="H29" s="43" t="n">
        <v>21418.91</v>
      </c>
      <c r="I29" s="43">
        <f>H29*0.1</f>
        <v/>
      </c>
      <c r="J29" s="43" t="n">
        <v>1070.95</v>
      </c>
      <c r="K29" s="43">
        <f>J29-I29</f>
        <v/>
      </c>
      <c r="L29" s="40" t="inlineStr">
        <is>
          <t>Customer referral — no lead gen half ($535.48)</t>
        </is>
      </c>
    </row>
    <row r="30" ht="15" customHeight="1" s="25">
      <c r="A30" s="39" t="inlineStr">
        <is>
          <t>SSA057</t>
        </is>
      </c>
      <c r="B30" s="40" t="inlineStr">
        <is>
          <t>Tom Jolly - 11 Ness Street Diamond Creek VIC 3089</t>
        </is>
      </c>
      <c r="C30" s="41" t="inlineStr">
        <is>
          <t>10/06/26</t>
        </is>
      </c>
      <c r="D30" s="41" t="inlineStr">
        <is>
          <t>pre-reset</t>
        </is>
      </c>
      <c r="E30" s="43" t="n">
        <v>25390</v>
      </c>
      <c r="F30" s="43" t="n">
        <v>204.37</v>
      </c>
      <c r="G30" s="43" t="n">
        <v>0</v>
      </c>
      <c r="H30" s="43" t="n">
        <v>25594.37</v>
      </c>
      <c r="I30" s="43">
        <f>H30*0.1</f>
        <v/>
      </c>
      <c r="J30" s="43" t="n">
        <v>0</v>
      </c>
      <c r="K30" s="43">
        <f>J30-I30</f>
        <v/>
      </c>
      <c r="L30" s="40" t="inlineStr">
        <is>
          <t>Gated with no Commission Payable — suppressed to zero, paying nobody</t>
        </is>
      </c>
    </row>
    <row r="31" ht="15" customHeight="1" s="25">
      <c r="A31" s="37" t="inlineStr">
        <is>
          <t>180526.JS01</t>
        </is>
      </c>
      <c r="B31" s="30" t="inlineStr">
        <is>
          <t>Dee &amp; Steve Mansfield - 6 Rosewood Place Kyogle NSW 2474</t>
        </is>
      </c>
      <c r="C31" s="33" t="inlineStr">
        <is>
          <t>02/06/26</t>
        </is>
      </c>
      <c r="D31" s="33" t="inlineStr">
        <is>
          <t>pre-reset</t>
        </is>
      </c>
      <c r="E31" s="31" t="n">
        <v>41930</v>
      </c>
      <c r="F31" s="31" t="n">
        <v>1210.09</v>
      </c>
      <c r="G31" s="31" t="n">
        <v>0</v>
      </c>
      <c r="H31" s="31" t="n">
        <v>43140.09</v>
      </c>
      <c r="I31" s="31">
        <f>H31*0.1</f>
        <v/>
      </c>
      <c r="J31" s="31" t="n">
        <v>4314.01</v>
      </c>
      <c r="K31" s="31">
        <f>J31-I31</f>
        <v/>
      </c>
      <c r="L31" s="30" t="n"/>
    </row>
    <row r="32" ht="15" customHeight="1" s="25">
      <c r="A32" s="37" t="inlineStr">
        <is>
          <t>SSA032</t>
        </is>
      </c>
      <c r="B32" s="30" t="inlineStr">
        <is>
          <t>Damien Woodmansey - 126-128 Hoddle Street Howlong NSW 2643</t>
        </is>
      </c>
      <c r="C32" s="33" t="inlineStr">
        <is>
          <t>31/05/26</t>
        </is>
      </c>
      <c r="D32" s="33" t="inlineStr">
        <is>
          <t>pre-reset</t>
        </is>
      </c>
      <c r="E32" s="31" t="n">
        <v>19500</v>
      </c>
      <c r="F32" s="31" t="n">
        <v>-2419.64</v>
      </c>
      <c r="G32" s="31" t="n">
        <v>-1920.55</v>
      </c>
      <c r="H32" s="31" t="n">
        <v>15159.81</v>
      </c>
      <c r="I32" s="31">
        <f>H32*0.1</f>
        <v/>
      </c>
      <c r="J32" s="31" t="n">
        <v>2200</v>
      </c>
      <c r="K32" s="31">
        <f>J32-I32</f>
        <v/>
      </c>
      <c r="L32" s="30" t="n"/>
    </row>
    <row r="33" ht="15" customHeight="1" s="25">
      <c r="A33" s="37" t="inlineStr">
        <is>
          <t>250426.DWB01</t>
        </is>
      </c>
      <c r="B33" s="30" t="inlineStr">
        <is>
          <t>Summer Stewart - 3-5 Gleno Street Delungra NSW 2403</t>
        </is>
      </c>
      <c r="C33" s="33" t="inlineStr">
        <is>
          <t>23/05/26</t>
        </is>
      </c>
      <c r="D33" s="33" t="inlineStr">
        <is>
          <t>pre-reset</t>
        </is>
      </c>
      <c r="E33" s="31" t="n">
        <v>34665.68</v>
      </c>
      <c r="F33" s="31" t="n">
        <v>0</v>
      </c>
      <c r="G33" s="31" t="n">
        <v>-5624.98</v>
      </c>
      <c r="H33" s="31" t="n">
        <v>29040.7</v>
      </c>
      <c r="I33" s="31">
        <f>H33*0.1</f>
        <v/>
      </c>
      <c r="J33" s="31" t="n">
        <v>2904.07</v>
      </c>
      <c r="K33" s="31">
        <f>J33-I33</f>
        <v/>
      </c>
      <c r="L33" s="30" t="n"/>
    </row>
    <row r="34" ht="15" customHeight="1" s="25">
      <c r="A34" s="37" t="inlineStr">
        <is>
          <t>230426.DWB01</t>
        </is>
      </c>
      <c r="B34" s="30" t="inlineStr">
        <is>
          <t>Vicki Davis - 36 Burnett Street Delungra NSW 2403</t>
        </is>
      </c>
      <c r="C34" s="33" t="inlineStr">
        <is>
          <t>23/05/26</t>
        </is>
      </c>
      <c r="D34" s="33" t="inlineStr">
        <is>
          <t>pre-reset</t>
        </is>
      </c>
      <c r="E34" s="31" t="n">
        <v>21516.36</v>
      </c>
      <c r="F34" s="31" t="n">
        <v>-1332.18</v>
      </c>
      <c r="G34" s="31" t="n">
        <v>-3148.25</v>
      </c>
      <c r="H34" s="31" t="n">
        <v>17035.93</v>
      </c>
      <c r="I34" s="31">
        <f>H34*0.1</f>
        <v/>
      </c>
      <c r="J34" s="31" t="n">
        <v>1703.59</v>
      </c>
      <c r="K34" s="31">
        <f>J34-I34</f>
        <v/>
      </c>
      <c r="L34" s="30" t="n"/>
    </row>
    <row r="35" ht="15" customHeight="1" s="25">
      <c r="A35" s="37" t="inlineStr">
        <is>
          <t>250426.DWB01</t>
        </is>
      </c>
      <c r="B35" s="30" t="inlineStr">
        <is>
          <t>Summer Stewart - 1 Gleno Street Delungra NSW 2403</t>
        </is>
      </c>
      <c r="C35" s="33" t="inlineStr">
        <is>
          <t>23/05/26</t>
        </is>
      </c>
      <c r="D35" s="33" t="inlineStr">
        <is>
          <t>pre-reset</t>
        </is>
      </c>
      <c r="E35" s="31" t="n">
        <v>34665.68</v>
      </c>
      <c r="F35" s="31" t="n">
        <v>922.36</v>
      </c>
      <c r="G35" s="31" t="n">
        <v>-5624.99</v>
      </c>
      <c r="H35" s="31" t="n">
        <v>29963.05</v>
      </c>
      <c r="I35" s="31">
        <f>H35*0.1</f>
        <v/>
      </c>
      <c r="J35" s="31" t="n">
        <v>2996.31</v>
      </c>
      <c r="K35" s="31">
        <f>J35-I35</f>
        <v/>
      </c>
      <c r="L35" s="30" t="n"/>
    </row>
    <row r="36" ht="15" customHeight="1" s="25">
      <c r="A36" s="37" t="inlineStr">
        <is>
          <t>230426.JS01</t>
        </is>
      </c>
      <c r="B36" s="30" t="inlineStr">
        <is>
          <t>Felicity Menchin - 28 Inverell Street Delungra NSW 2403</t>
        </is>
      </c>
      <c r="C36" s="33" t="inlineStr">
        <is>
          <t>22/05/26</t>
        </is>
      </c>
      <c r="D36" s="33" t="inlineStr">
        <is>
          <t>pre-reset</t>
        </is>
      </c>
      <c r="E36" s="31" t="n">
        <v>33354.55</v>
      </c>
      <c r="F36" s="31" t="n">
        <v>-949.8</v>
      </c>
      <c r="G36" s="31" t="n">
        <v>-5225.2</v>
      </c>
      <c r="H36" s="31" t="n">
        <v>27179.55</v>
      </c>
      <c r="I36" s="31">
        <f>H36*0.1</f>
        <v/>
      </c>
      <c r="J36" s="31" t="n">
        <v>2717.96</v>
      </c>
      <c r="K36" s="31">
        <f>J36-I36</f>
        <v/>
      </c>
      <c r="L36" s="30" t="n"/>
    </row>
    <row r="37" ht="15" customHeight="1" s="25">
      <c r="A37" s="37" t="inlineStr">
        <is>
          <t>260426.DWB02</t>
        </is>
      </c>
      <c r="B37" s="30" t="inlineStr">
        <is>
          <t>Peter Hancock - 105 High Street Warialda NSW 2402</t>
        </is>
      </c>
      <c r="C37" s="33" t="inlineStr">
        <is>
          <t>21/05/26</t>
        </is>
      </c>
      <c r="D37" s="33" t="inlineStr">
        <is>
          <t>pre-reset</t>
        </is>
      </c>
      <c r="E37" s="31" t="n">
        <v>20118.18</v>
      </c>
      <c r="F37" s="31" t="n">
        <v>1077.09</v>
      </c>
      <c r="G37" s="31" t="n">
        <v>0</v>
      </c>
      <c r="H37" s="31" t="n">
        <v>21195.27</v>
      </c>
      <c r="I37" s="31">
        <f>H37*0.1</f>
        <v/>
      </c>
      <c r="J37" s="31" t="n">
        <v>2119.53</v>
      </c>
      <c r="K37" s="31">
        <f>J37-I37</f>
        <v/>
      </c>
      <c r="L37" s="30" t="n"/>
    </row>
    <row r="38" ht="15" customHeight="1" s="25">
      <c r="A38" s="37" t="inlineStr">
        <is>
          <t>040526.DWB03</t>
        </is>
      </c>
      <c r="B38" s="30" t="inlineStr">
        <is>
          <t>Richard Gray - 10 Cross Street  Warialda NSW 2402</t>
        </is>
      </c>
      <c r="C38" s="33" t="inlineStr">
        <is>
          <t>21/05/26</t>
        </is>
      </c>
      <c r="D38" s="33" t="inlineStr">
        <is>
          <t>pre-reset</t>
        </is>
      </c>
      <c r="E38" s="31" t="n">
        <v>22090</v>
      </c>
      <c r="F38" s="31" t="n">
        <v>-138.91</v>
      </c>
      <c r="G38" s="31" t="n">
        <v>0</v>
      </c>
      <c r="H38" s="31" t="n">
        <v>21951.09</v>
      </c>
      <c r="I38" s="31">
        <f>H38*0.1</f>
        <v/>
      </c>
      <c r="J38" s="31" t="n">
        <v>2195.11</v>
      </c>
      <c r="K38" s="31">
        <f>J38-I38</f>
        <v/>
      </c>
      <c r="L38" s="30" t="n"/>
    </row>
    <row r="39" ht="15" customHeight="1" s="25">
      <c r="A39" s="37" t="inlineStr">
        <is>
          <t>210426.DWB02</t>
        </is>
      </c>
      <c r="B39" s="30" t="inlineStr">
        <is>
          <t>Serena Kash - 23 Crane Street Warialda NSW 2402</t>
        </is>
      </c>
      <c r="C39" s="33" t="inlineStr">
        <is>
          <t>20/05/26</t>
        </is>
      </c>
      <c r="D39" s="33" t="inlineStr">
        <is>
          <t>pre-reset</t>
        </is>
      </c>
      <c r="E39" s="31" t="n">
        <v>30827.27</v>
      </c>
      <c r="F39" s="31" t="n">
        <v>566</v>
      </c>
      <c r="G39" s="31" t="n">
        <v>0</v>
      </c>
      <c r="H39" s="31" t="n">
        <v>31393.27</v>
      </c>
      <c r="I39" s="31">
        <f>H39*0.1</f>
        <v/>
      </c>
      <c r="J39" s="31" t="n">
        <v>3139.33</v>
      </c>
      <c r="K39" s="31">
        <f>J39-I39</f>
        <v/>
      </c>
      <c r="L39" s="30" t="n"/>
    </row>
    <row r="40" ht="15" customHeight="1" s="25">
      <c r="A40" s="37" t="inlineStr">
        <is>
          <t>SSA034</t>
        </is>
      </c>
      <c r="B40" s="30" t="inlineStr">
        <is>
          <t>Amy Wong - 10 O’Connor Street Eastlakes NSW 2018</t>
        </is>
      </c>
      <c r="C40" s="33" t="inlineStr">
        <is>
          <t>19/05/26</t>
        </is>
      </c>
      <c r="D40" s="33" t="inlineStr">
        <is>
          <t>pre-reset</t>
        </is>
      </c>
      <c r="E40" s="31" t="n">
        <v>27253.63</v>
      </c>
      <c r="F40" s="31" t="n">
        <v>455.09</v>
      </c>
      <c r="G40" s="31" t="n">
        <v>0</v>
      </c>
      <c r="H40" s="31" t="n">
        <v>27708.72</v>
      </c>
      <c r="I40" s="31">
        <f>H40*0.1</f>
        <v/>
      </c>
      <c r="J40" s="31" t="n">
        <v>2770.87</v>
      </c>
      <c r="K40" s="31">
        <f>J40-I40</f>
        <v/>
      </c>
      <c r="L40" s="30" t="n"/>
    </row>
    <row r="41" ht="15" customHeight="1" s="25">
      <c r="A41" s="37" t="inlineStr">
        <is>
          <t>SSA019</t>
        </is>
      </c>
      <c r="B41" s="30" t="inlineStr">
        <is>
          <t>Rob Matta - 109 Brighton Street Croydon Park NSW 2133</t>
        </is>
      </c>
      <c r="C41" s="33" t="inlineStr">
        <is>
          <t>08/05/26</t>
        </is>
      </c>
      <c r="D41" s="33" t="inlineStr">
        <is>
          <t>pre-reset</t>
        </is>
      </c>
      <c r="E41" s="31" t="n">
        <v>25545.45</v>
      </c>
      <c r="F41" s="31" t="n">
        <v>-4801.09</v>
      </c>
      <c r="G41" s="31" t="n">
        <v>0</v>
      </c>
      <c r="H41" s="31" t="n">
        <v>20744.36</v>
      </c>
      <c r="I41" s="31">
        <f>H41*0.1</f>
        <v/>
      </c>
      <c r="J41" s="31" t="n">
        <v>2074.44</v>
      </c>
      <c r="K41" s="31">
        <f>J41-I41</f>
        <v/>
      </c>
      <c r="L41" s="30" t="n"/>
    </row>
    <row r="42" ht="15" customHeight="1" s="25">
      <c r="A42" s="37" t="inlineStr">
        <is>
          <t>SSA023</t>
        </is>
      </c>
      <c r="B42" s="30" t="inlineStr">
        <is>
          <t>Henri Lago - 67 Amhurst Street Slade Point QLD 4740</t>
        </is>
      </c>
      <c r="C42" s="33" t="inlineStr">
        <is>
          <t>08/05/26</t>
        </is>
      </c>
      <c r="D42" s="33" t="inlineStr">
        <is>
          <t>pre-reset</t>
        </is>
      </c>
      <c r="E42" s="31" t="n">
        <v>23826.93</v>
      </c>
      <c r="F42" s="31" t="n">
        <v>53.07</v>
      </c>
      <c r="G42" s="31" t="n">
        <v>0</v>
      </c>
      <c r="H42" s="31" t="n">
        <v>23880</v>
      </c>
      <c r="I42" s="31">
        <f>H42*0.1</f>
        <v/>
      </c>
      <c r="J42" s="31" t="n">
        <v>2388</v>
      </c>
      <c r="K42" s="31">
        <f>J42-I42</f>
        <v/>
      </c>
      <c r="L42" s="30" t="n"/>
    </row>
    <row r="43" ht="15" customHeight="1" s="25">
      <c r="A43" s="37" t="inlineStr">
        <is>
          <t>SSA030</t>
        </is>
      </c>
      <c r="B43" s="30" t="inlineStr">
        <is>
          <t>Allen Paskins - 11 Heathwood Court Hampden QLD 4741</t>
        </is>
      </c>
      <c r="C43" s="33" t="inlineStr">
        <is>
          <t>08/05/26</t>
        </is>
      </c>
      <c r="D43" s="33" t="inlineStr">
        <is>
          <t>pre-reset</t>
        </is>
      </c>
      <c r="E43" s="31" t="n">
        <v>25261</v>
      </c>
      <c r="F43" s="31" t="n">
        <v>1548.55</v>
      </c>
      <c r="G43" s="31" t="n">
        <v>0</v>
      </c>
      <c r="H43" s="31" t="n">
        <v>26809.55</v>
      </c>
      <c r="I43" s="31">
        <f>H43*0.1</f>
        <v/>
      </c>
      <c r="J43" s="31" t="n">
        <v>2680.96</v>
      </c>
      <c r="K43" s="31">
        <f>J43-I43</f>
        <v/>
      </c>
      <c r="L43" s="30" t="n"/>
    </row>
    <row r="44" ht="15" customHeight="1" s="25">
      <c r="A44" s="37" t="inlineStr">
        <is>
          <t>SSA031</t>
        </is>
      </c>
      <c r="B44" s="30" t="inlineStr">
        <is>
          <t>Richard Campbell - 100 Dunwold-Cattle Creek Road Gargett QLD 4741</t>
        </is>
      </c>
      <c r="C44" s="33" t="inlineStr">
        <is>
          <t>07/05/26</t>
        </is>
      </c>
      <c r="D44" s="33" t="inlineStr">
        <is>
          <t>pre-reset</t>
        </is>
      </c>
      <c r="E44" s="31" t="n">
        <v>52279.51</v>
      </c>
      <c r="F44" s="31" t="n">
        <v>-5689.37</v>
      </c>
      <c r="G44" s="31" t="n">
        <v>0</v>
      </c>
      <c r="H44" s="31" t="n">
        <v>46590.14</v>
      </c>
      <c r="I44" s="31">
        <f>H44*0.1</f>
        <v/>
      </c>
      <c r="J44" s="31" t="n">
        <v>4659.01</v>
      </c>
      <c r="K44" s="31">
        <f>J44-I44</f>
        <v/>
      </c>
      <c r="L44" s="30" t="n"/>
    </row>
    <row r="45" ht="15" customHeight="1" s="25">
      <c r="A45" s="37" t="inlineStr">
        <is>
          <t>SSA052</t>
        </is>
      </c>
      <c r="B45" s="30" t="inlineStr">
        <is>
          <t>Anne Moore - 93 Stephen Street Warialda NSW 2402</t>
        </is>
      </c>
      <c r="C45" s="33" t="inlineStr">
        <is>
          <t>25/04/26</t>
        </is>
      </c>
      <c r="D45" s="33" t="inlineStr">
        <is>
          <t>pre-reset</t>
        </is>
      </c>
      <c r="E45" s="31" t="n">
        <v>26544.73</v>
      </c>
      <c r="F45" s="31" t="n">
        <v>-610</v>
      </c>
      <c r="G45" s="31" t="n">
        <v>0</v>
      </c>
      <c r="H45" s="31" t="n">
        <v>25934.73</v>
      </c>
      <c r="I45" s="31">
        <f>H45*0.1</f>
        <v/>
      </c>
      <c r="J45" s="31" t="n">
        <v>2593.47</v>
      </c>
      <c r="K45" s="31">
        <f>J45-I45</f>
        <v/>
      </c>
      <c r="L45" s="30" t="n"/>
    </row>
    <row r="46" ht="15" customHeight="1" s="25">
      <c r="A46" s="37" t="inlineStr">
        <is>
          <t>SSA055</t>
        </is>
      </c>
      <c r="B46" s="30" t="inlineStr">
        <is>
          <t>Rosemary Arnold - 38 Holden Street Warialda NSW 2402</t>
        </is>
      </c>
      <c r="C46" s="33" t="inlineStr">
        <is>
          <t>25/04/26</t>
        </is>
      </c>
      <c r="D46" s="33" t="inlineStr">
        <is>
          <t>pre-reset</t>
        </is>
      </c>
      <c r="E46" s="31" t="n">
        <v>20408.18</v>
      </c>
      <c r="F46" s="31" t="n">
        <v>993.64</v>
      </c>
      <c r="G46" s="31" t="n">
        <v>-1528.34</v>
      </c>
      <c r="H46" s="31" t="n">
        <v>19873.48</v>
      </c>
      <c r="I46" s="31">
        <f>H46*0.1</f>
        <v/>
      </c>
      <c r="J46" s="31" t="n">
        <v>1987.35</v>
      </c>
      <c r="K46" s="31">
        <f>J46-I46</f>
        <v/>
      </c>
      <c r="L46" s="30" t="n"/>
    </row>
    <row r="47" ht="15" customHeight="1" s="25">
      <c r="A47" s="37" t="inlineStr">
        <is>
          <t>200426.DWB01</t>
        </is>
      </c>
      <c r="B47" s="30" t="inlineStr">
        <is>
          <t>Dianne Burke - 91 Cunningham Street Bingara NSW 2404</t>
        </is>
      </c>
      <c r="C47" s="33" t="inlineStr">
        <is>
          <t>24/04/26</t>
        </is>
      </c>
      <c r="D47" s="33" t="inlineStr">
        <is>
          <t>pre-reset</t>
        </is>
      </c>
      <c r="E47" s="31" t="n">
        <v>21751.81</v>
      </c>
      <c r="F47" s="31" t="n">
        <v>-761.36</v>
      </c>
      <c r="G47" s="31" t="n">
        <v>0</v>
      </c>
      <c r="H47" s="31" t="n">
        <v>20990.45</v>
      </c>
      <c r="I47" s="31">
        <f>H47*0.1</f>
        <v/>
      </c>
      <c r="J47" s="31" t="n">
        <v>2099.05</v>
      </c>
      <c r="K47" s="31">
        <f>J47-I47</f>
        <v/>
      </c>
      <c r="L47" s="30" t="n"/>
    </row>
    <row r="48" ht="15" customHeight="1" s="25">
      <c r="A48" s="37" t="inlineStr">
        <is>
          <t>SSA053</t>
        </is>
      </c>
      <c r="B48" s="30" t="inlineStr">
        <is>
          <t>Annette Towers - 2 Finch Street Bingara NSW 2404</t>
        </is>
      </c>
      <c r="C48" s="33" t="inlineStr">
        <is>
          <t>24/04/26</t>
        </is>
      </c>
      <c r="D48" s="33" t="inlineStr">
        <is>
          <t>pre-reset</t>
        </is>
      </c>
      <c r="E48" s="31" t="n">
        <v>37204.55</v>
      </c>
      <c r="F48" s="31" t="n">
        <v>-3412.73</v>
      </c>
      <c r="G48" s="31" t="n">
        <v>-3506.34</v>
      </c>
      <c r="H48" s="31" t="n">
        <v>30285.48</v>
      </c>
      <c r="I48" s="31">
        <f>H48*0.1</f>
        <v/>
      </c>
      <c r="J48" s="31" t="n">
        <v>3028.55</v>
      </c>
      <c r="K48" s="31">
        <f>J48-I48</f>
        <v/>
      </c>
      <c r="L48" s="30" t="n"/>
    </row>
    <row r="49" ht="15" customHeight="1" s="25">
      <c r="A49" s="37" t="inlineStr">
        <is>
          <t>SSA054</t>
        </is>
      </c>
      <c r="B49" s="30" t="inlineStr">
        <is>
          <t>Adrian Dick - 36 Keera Street  Bingara NSW 2404</t>
        </is>
      </c>
      <c r="C49" s="33" t="inlineStr">
        <is>
          <t>23/04/26</t>
        </is>
      </c>
      <c r="D49" s="33" t="inlineStr">
        <is>
          <t>pre-reset</t>
        </is>
      </c>
      <c r="E49" s="31" t="n">
        <v>13304.54</v>
      </c>
      <c r="F49" s="31" t="n">
        <v>1120.37</v>
      </c>
      <c r="G49" s="31" t="n">
        <v>0</v>
      </c>
      <c r="H49" s="31" t="n">
        <v>14424.91</v>
      </c>
      <c r="I49" s="31">
        <f>H49*0.1</f>
        <v/>
      </c>
      <c r="J49" s="31" t="n">
        <v>1442.49</v>
      </c>
      <c r="K49" s="31">
        <f>J49-I49</f>
        <v/>
      </c>
      <c r="L49" s="30" t="n"/>
    </row>
    <row r="50" ht="15" customHeight="1" s="25">
      <c r="A50" s="37" t="inlineStr">
        <is>
          <t>SSA051</t>
        </is>
      </c>
      <c r="B50" s="30" t="inlineStr">
        <is>
          <t>Andy Callaway - 69 Maitland Street Bingara NSW 2404</t>
        </is>
      </c>
      <c r="C50" s="33" t="inlineStr">
        <is>
          <t>23/04/26</t>
        </is>
      </c>
      <c r="D50" s="33" t="inlineStr">
        <is>
          <t>pre-reset</t>
        </is>
      </c>
      <c r="E50" s="31" t="n">
        <v>30709.09</v>
      </c>
      <c r="F50" s="31" t="n">
        <v>71.81999999999999</v>
      </c>
      <c r="G50" s="31" t="n">
        <v>0</v>
      </c>
      <c r="H50" s="31" t="n">
        <v>30780.91</v>
      </c>
      <c r="I50" s="31">
        <f>H50*0.1</f>
        <v/>
      </c>
      <c r="J50" s="31" t="n">
        <v>3078.09</v>
      </c>
      <c r="K50" s="31">
        <f>J50-I50</f>
        <v/>
      </c>
      <c r="L50" s="30" t="n"/>
    </row>
    <row r="51" ht="15" customHeight="1" s="25">
      <c r="A51" s="39" t="inlineStr">
        <is>
          <t>SSA035</t>
        </is>
      </c>
      <c r="B51" s="40" t="inlineStr">
        <is>
          <t>John Tooler - 8 Tranquil Place Alstonville NSW 2477</t>
        </is>
      </c>
      <c r="C51" s="41" t="inlineStr">
        <is>
          <t>15/04/26</t>
        </is>
      </c>
      <c r="D51" s="41" t="inlineStr">
        <is>
          <t>pre-reset</t>
        </is>
      </c>
      <c r="E51" s="43" t="n">
        <v>28636.36</v>
      </c>
      <c r="F51" s="43" t="n">
        <v>-704.72</v>
      </c>
      <c r="G51" s="43" t="n">
        <v>0</v>
      </c>
      <c r="H51" s="43" t="n">
        <v>27931.64</v>
      </c>
      <c r="I51" s="43">
        <f>H51*0.1</f>
        <v/>
      </c>
      <c r="J51" s="43" t="n">
        <v>1396.58</v>
      </c>
      <c r="K51" s="43">
        <f>J51-I51</f>
        <v/>
      </c>
      <c r="L51" s="40" t="inlineStr">
        <is>
          <t>Customer referral — no lead gen half ($698.29)</t>
        </is>
      </c>
    </row>
    <row r="52" ht="15" customHeight="1" s="25">
      <c r="A52" s="37" t="inlineStr">
        <is>
          <t>SSA026</t>
        </is>
      </c>
      <c r="B52" s="30" t="inlineStr">
        <is>
          <t>Gibb French - 34 Alan Street Marian QLD 4753</t>
        </is>
      </c>
      <c r="C52" s="33" t="inlineStr">
        <is>
          <t>12/04/26</t>
        </is>
      </c>
      <c r="D52" s="33" t="inlineStr">
        <is>
          <t>pre-reset</t>
        </is>
      </c>
      <c r="E52" s="31" t="n">
        <v>43775.27</v>
      </c>
      <c r="F52" s="31" t="n">
        <v>-375.09</v>
      </c>
      <c r="G52" s="31" t="n">
        <v>-6842.94</v>
      </c>
      <c r="H52" s="31" t="n">
        <v>36557.24</v>
      </c>
      <c r="I52" s="31">
        <f>H52*0.1</f>
        <v/>
      </c>
      <c r="J52" s="31" t="n">
        <v>3655.72</v>
      </c>
      <c r="K52" s="31">
        <f>J52-I52</f>
        <v/>
      </c>
      <c r="L52" s="30" t="n"/>
    </row>
    <row r="53" ht="15" customHeight="1" s="25">
      <c r="A53" s="37" t="inlineStr">
        <is>
          <t>SSA028</t>
        </is>
      </c>
      <c r="B53" s="30" t="inlineStr">
        <is>
          <t>Bernie Shields - 9 Coral Drive Blacks Beach QLD 4740</t>
        </is>
      </c>
      <c r="C53" s="33" t="inlineStr">
        <is>
          <t>11/04/26</t>
        </is>
      </c>
      <c r="D53" s="33" t="inlineStr">
        <is>
          <t>pre-reset</t>
        </is>
      </c>
      <c r="E53" s="31" t="n">
        <v>30136.37</v>
      </c>
      <c r="F53" s="31" t="n">
        <v>-3362.18</v>
      </c>
      <c r="G53" s="31" t="n">
        <v>-3790.81</v>
      </c>
      <c r="H53" s="31" t="n">
        <v>22983.38</v>
      </c>
      <c r="I53" s="31">
        <f>H53*0.1</f>
        <v/>
      </c>
      <c r="J53" s="31" t="n">
        <v>2298.34</v>
      </c>
      <c r="K53" s="31">
        <f>J53-I53</f>
        <v/>
      </c>
      <c r="L53" s="30" t="n"/>
    </row>
    <row r="54" ht="15" customHeight="1" s="25">
      <c r="A54" s="37" t="inlineStr">
        <is>
          <t>SSA024</t>
        </is>
      </c>
      <c r="B54" s="30" t="inlineStr">
        <is>
          <t>Dean Boland - 16 Blackmur Street Marian QLD 4753</t>
        </is>
      </c>
      <c r="C54" s="33" t="inlineStr">
        <is>
          <t>11/04/26</t>
        </is>
      </c>
      <c r="D54" s="33" t="inlineStr">
        <is>
          <t>pre-reset</t>
        </is>
      </c>
      <c r="E54" s="31" t="n">
        <v>28526.55</v>
      </c>
      <c r="F54" s="31" t="n">
        <v>-1460.73</v>
      </c>
      <c r="G54" s="31" t="n">
        <v>-3466.87</v>
      </c>
      <c r="H54" s="31" t="n">
        <v>23598.95</v>
      </c>
      <c r="I54" s="31">
        <f>H54*0.1</f>
        <v/>
      </c>
      <c r="J54" s="31" t="n">
        <v>2359.9</v>
      </c>
      <c r="K54" s="31">
        <f>J54-I54</f>
        <v/>
      </c>
      <c r="L54" s="30" t="n"/>
    </row>
    <row r="55" ht="15" customHeight="1" s="25">
      <c r="A55" s="37" t="inlineStr">
        <is>
          <t>SSA025</t>
        </is>
      </c>
      <c r="B55" s="30" t="inlineStr">
        <is>
          <t>Peter Schaper - 22 Elizabeth Street Mirani QLD 4754</t>
        </is>
      </c>
      <c r="C55" s="33" t="inlineStr">
        <is>
          <t>10/04/26</t>
        </is>
      </c>
      <c r="D55" s="33" t="inlineStr">
        <is>
          <t>pre-reset</t>
        </is>
      </c>
      <c r="E55" s="31" t="n">
        <v>22776.37</v>
      </c>
      <c r="F55" s="31" t="n">
        <v>2040.91</v>
      </c>
      <c r="G55" s="31" t="n">
        <v>-3496.51</v>
      </c>
      <c r="H55" s="31" t="n">
        <v>21320.77</v>
      </c>
      <c r="I55" s="31">
        <f>H55*0.1</f>
        <v/>
      </c>
      <c r="J55" s="31" t="n">
        <v>2132.08</v>
      </c>
      <c r="K55" s="31">
        <f>J55-I55</f>
        <v/>
      </c>
      <c r="L55" s="30" t="n"/>
    </row>
    <row r="56" ht="15" customHeight="1" s="25">
      <c r="A56" s="37" t="inlineStr">
        <is>
          <t>SSA027</t>
        </is>
      </c>
      <c r="B56" s="30" t="inlineStr">
        <is>
          <t>Vincent Reeves - 5 Lucy Court Mirani QLD 4754</t>
        </is>
      </c>
      <c r="C56" s="33" t="inlineStr">
        <is>
          <t>10/04/26</t>
        </is>
      </c>
      <c r="D56" s="33" t="inlineStr">
        <is>
          <t>pre-reset</t>
        </is>
      </c>
      <c r="E56" s="31" t="n">
        <v>24076.18</v>
      </c>
      <c r="F56" s="31" t="n">
        <v>-899.8200000000001</v>
      </c>
      <c r="G56" s="31" t="n">
        <v>-2451.07</v>
      </c>
      <c r="H56" s="31" t="n">
        <v>20725.29</v>
      </c>
      <c r="I56" s="31">
        <f>H56*0.1</f>
        <v/>
      </c>
      <c r="J56" s="31" t="n">
        <v>2072.53</v>
      </c>
      <c r="K56" s="31">
        <f>J56-I56</f>
        <v/>
      </c>
      <c r="L56" s="30" t="n"/>
    </row>
    <row r="57" ht="15" customHeight="1" s="25">
      <c r="A57" s="39" t="inlineStr">
        <is>
          <t>SSA029</t>
        </is>
      </c>
      <c r="B57" s="40" t="inlineStr">
        <is>
          <t>Danielle Campbell - 11 Vesta Lane Ooralea QLD 4740</t>
        </is>
      </c>
      <c r="C57" s="41" t="inlineStr">
        <is>
          <t>08/04/26</t>
        </is>
      </c>
      <c r="D57" s="41" t="inlineStr">
        <is>
          <t>pre-reset</t>
        </is>
      </c>
      <c r="E57" s="43" t="n">
        <v>20250</v>
      </c>
      <c r="F57" s="43" t="n">
        <v>-5207.27</v>
      </c>
      <c r="G57" s="43" t="n">
        <v>0</v>
      </c>
      <c r="H57" s="43" t="n">
        <v>15042.73</v>
      </c>
      <c r="I57" s="43">
        <f>H57*0.1</f>
        <v/>
      </c>
      <c r="J57" s="43" t="n">
        <v>0</v>
      </c>
      <c r="K57" s="43">
        <f>J57-I57</f>
        <v/>
      </c>
      <c r="L57" s="40" t="inlineStr">
        <is>
          <t>Gated with no Commission Payable — suppressed to zero, paying nobody</t>
        </is>
      </c>
    </row>
    <row r="58" ht="15" customHeight="1" s="25">
      <c r="A58" s="37" t="inlineStr">
        <is>
          <t>SSA018</t>
        </is>
      </c>
      <c r="B58" s="30" t="inlineStr">
        <is>
          <t>Marion Priestly - 31 Adams Street Heddon Greta NSW 2321</t>
        </is>
      </c>
      <c r="C58" s="33" t="inlineStr">
        <is>
          <t>07/04/26</t>
        </is>
      </c>
      <c r="D58" s="33" t="inlineStr">
        <is>
          <t>pre-reset</t>
        </is>
      </c>
      <c r="E58" s="31" t="n">
        <v>17268.18</v>
      </c>
      <c r="F58" s="31" t="n">
        <v>-636.36</v>
      </c>
      <c r="G58" s="31" t="n">
        <v>0</v>
      </c>
      <c r="H58" s="31" t="n">
        <v>16631.82</v>
      </c>
      <c r="I58" s="31">
        <f>H58*0.1</f>
        <v/>
      </c>
      <c r="J58" s="31" t="n">
        <v>1663.18</v>
      </c>
      <c r="K58" s="31">
        <f>J58-I58</f>
        <v/>
      </c>
      <c r="L58" s="30" t="n"/>
    </row>
    <row r="59" ht="15" customHeight="1" s="25">
      <c r="A59" s="37" t="inlineStr">
        <is>
          <t>SSA022</t>
        </is>
      </c>
      <c r="B59" s="30" t="inlineStr">
        <is>
          <t>Murray Heath - Unit 5 - 11 Prospect Street Mackay QLD 4740</t>
        </is>
      </c>
      <c r="C59" s="33" t="inlineStr">
        <is>
          <t>30/03/26</t>
        </is>
      </c>
      <c r="D59" s="33" t="inlineStr">
        <is>
          <t>pre-reset</t>
        </is>
      </c>
      <c r="E59" s="31" t="n">
        <v>17844.55</v>
      </c>
      <c r="F59" s="31" t="n">
        <v>-500</v>
      </c>
      <c r="G59" s="31" t="n">
        <v>0</v>
      </c>
      <c r="H59" s="31" t="n">
        <v>17344.55</v>
      </c>
      <c r="I59" s="31">
        <f>H59*0.1</f>
        <v/>
      </c>
      <c r="J59" s="31" t="n">
        <v>1734.46</v>
      </c>
      <c r="K59" s="31">
        <f>J59-I59</f>
        <v/>
      </c>
      <c r="L59" s="30" t="n"/>
    </row>
    <row r="60" ht="15" customHeight="1" s="25">
      <c r="A60" s="37" t="inlineStr">
        <is>
          <t>SSA049</t>
        </is>
      </c>
      <c r="B60" s="30" t="inlineStr">
        <is>
          <t>1 Bob &amp; Lawson Muir - 1516 Delungra Road Bingara NSW 2404</t>
        </is>
      </c>
      <c r="C60" s="33" t="inlineStr">
        <is>
          <t>27/03/26</t>
        </is>
      </c>
      <c r="D60" s="33" t="inlineStr">
        <is>
          <t>pre-reset</t>
        </is>
      </c>
      <c r="E60" s="31" t="n">
        <v>50870.91</v>
      </c>
      <c r="F60" s="31" t="n">
        <v>3168.36</v>
      </c>
      <c r="G60" s="31" t="n">
        <v>-9859.18</v>
      </c>
      <c r="H60" s="31" t="n">
        <v>44180.09</v>
      </c>
      <c r="I60" s="31">
        <f>H60*0.1</f>
        <v/>
      </c>
      <c r="J60" s="31" t="n">
        <v>4418.01</v>
      </c>
      <c r="K60" s="31">
        <f>J60-I60</f>
        <v/>
      </c>
      <c r="L60" s="30" t="n"/>
    </row>
    <row r="61" ht="15" customHeight="1" s="25">
      <c r="A61" s="37" t="inlineStr">
        <is>
          <t>SSA050</t>
        </is>
      </c>
      <c r="B61" s="30" t="inlineStr">
        <is>
          <t>2 Bob &amp; Lawson Muir - 1787 Delubngra Road Bingara NSW 2404</t>
        </is>
      </c>
      <c r="C61" s="33" t="inlineStr">
        <is>
          <t>26/03/26</t>
        </is>
      </c>
      <c r="D61" s="33" t="inlineStr">
        <is>
          <t>pre-reset</t>
        </is>
      </c>
      <c r="E61" s="31" t="n">
        <v>33123.82</v>
      </c>
      <c r="F61" s="31" t="n">
        <v>3526</v>
      </c>
      <c r="G61" s="31" t="n">
        <v>-5336.37</v>
      </c>
      <c r="H61" s="31" t="n">
        <v>31313.45</v>
      </c>
      <c r="I61" s="31">
        <f>H61*0.1</f>
        <v/>
      </c>
      <c r="J61" s="31" t="n">
        <v>3131.35</v>
      </c>
      <c r="K61" s="31">
        <f>J61-I61</f>
        <v/>
      </c>
      <c r="L61" s="30" t="n"/>
    </row>
    <row r="62" ht="15" customHeight="1" s="25">
      <c r="A62" s="37" t="inlineStr">
        <is>
          <t>SSA044</t>
        </is>
      </c>
      <c r="B62" s="30" t="inlineStr">
        <is>
          <t>Maria E Kelly - 2529 Pyramids Road Wyberba QLD 4382</t>
        </is>
      </c>
      <c r="C62" s="33" t="inlineStr">
        <is>
          <t>19/03/26</t>
        </is>
      </c>
      <c r="D62" s="33" t="inlineStr">
        <is>
          <t>pre-reset</t>
        </is>
      </c>
      <c r="E62" s="31" t="n">
        <v>26744.73</v>
      </c>
      <c r="F62" s="31" t="n">
        <v>336.09</v>
      </c>
      <c r="G62" s="31" t="n">
        <v>0</v>
      </c>
      <c r="H62" s="31" t="n">
        <v>27080.82</v>
      </c>
      <c r="I62" s="31">
        <f>H62*0.1</f>
        <v/>
      </c>
      <c r="J62" s="31" t="n">
        <v>2708.08</v>
      </c>
      <c r="K62" s="31">
        <f>J62-I62</f>
        <v/>
      </c>
      <c r="L62" s="30" t="n"/>
    </row>
    <row r="63" ht="15" customHeight="1" s="25">
      <c r="A63" s="37" t="inlineStr">
        <is>
          <t>SSA033</t>
        </is>
      </c>
      <c r="B63" s="30" t="inlineStr">
        <is>
          <t>Peter Rallings - 122 Eyles Drive East Ballina NSW 2478</t>
        </is>
      </c>
      <c r="C63" s="33" t="inlineStr">
        <is>
          <t>24/02/26</t>
        </is>
      </c>
      <c r="D63" s="33" t="inlineStr">
        <is>
          <t>pre-reset</t>
        </is>
      </c>
      <c r="E63" s="31" t="n">
        <v>11706.91</v>
      </c>
      <c r="F63" s="31" t="n">
        <v>171.27</v>
      </c>
      <c r="G63" s="31" t="n">
        <v>0</v>
      </c>
      <c r="H63" s="31" t="n">
        <v>11878.18</v>
      </c>
      <c r="I63" s="31">
        <f>H63*0.1</f>
        <v/>
      </c>
      <c r="J63" s="31" t="n">
        <v>1100</v>
      </c>
      <c r="K63" s="31">
        <f>J63-I63</f>
        <v/>
      </c>
      <c r="L63" s="30" t="n"/>
    </row>
    <row r="64" ht="15" customHeight="1" s="25">
      <c r="A64" s="37" t="inlineStr">
        <is>
          <t>SSA016</t>
        </is>
      </c>
      <c r="B64" s="30" t="inlineStr">
        <is>
          <t>Mark Cummins - 9 Waipori Street St Ives Chase NSW 2075</t>
        </is>
      </c>
      <c r="C64" s="33" t="inlineStr">
        <is>
          <t>20/02/26</t>
        </is>
      </c>
      <c r="D64" s="33" t="inlineStr">
        <is>
          <t>pre-reset</t>
        </is>
      </c>
      <c r="E64" s="31" t="n">
        <v>19359.09</v>
      </c>
      <c r="F64" s="31" t="n">
        <v>1400.45</v>
      </c>
      <c r="G64" s="31" t="n">
        <v>0</v>
      </c>
      <c r="H64" s="31" t="n">
        <v>20759.54</v>
      </c>
      <c r="I64" s="31">
        <f>H64*0.1</f>
        <v/>
      </c>
      <c r="J64" s="31" t="n">
        <v>2225</v>
      </c>
      <c r="K64" s="31">
        <f>J64-I64</f>
        <v/>
      </c>
      <c r="L64" s="30" t="n"/>
    </row>
    <row r="65" ht="15" customHeight="1" s="25">
      <c r="A65" s="37" t="inlineStr">
        <is>
          <t>SSA017</t>
        </is>
      </c>
      <c r="B65" s="30" t="inlineStr">
        <is>
          <t>Edward Watt - 41 Milburn Place St Ives Chase NSW 2075</t>
        </is>
      </c>
      <c r="C65" s="33" t="inlineStr">
        <is>
          <t>19/02/26</t>
        </is>
      </c>
      <c r="D65" s="33" t="inlineStr">
        <is>
          <t>pre-reset</t>
        </is>
      </c>
      <c r="E65" s="31" t="n">
        <v>14318.18</v>
      </c>
      <c r="F65" s="31" t="n">
        <v>-647.27</v>
      </c>
      <c r="G65" s="31" t="n">
        <v>0</v>
      </c>
      <c r="H65" s="31" t="n">
        <v>13670.91</v>
      </c>
      <c r="I65" s="31">
        <f>H65*0.1</f>
        <v/>
      </c>
      <c r="J65" s="31" t="n">
        <v>1367.09</v>
      </c>
      <c r="K65" s="31">
        <f>J65-I65</f>
        <v/>
      </c>
      <c r="L65" s="30" t="n"/>
    </row>
    <row r="66" ht="15" customHeight="1" s="25">
      <c r="A66" s="37" t="inlineStr">
        <is>
          <t>SSA007</t>
        </is>
      </c>
      <c r="B66" s="30" t="inlineStr">
        <is>
          <t>Larry Grant - 77 Cecil Road Orange NSW 2800</t>
        </is>
      </c>
      <c r="C66" s="33" t="inlineStr">
        <is>
          <t>15/02/26</t>
        </is>
      </c>
      <c r="D66" s="33" t="inlineStr">
        <is>
          <t>pre-reset</t>
        </is>
      </c>
      <c r="E66" s="31" t="n">
        <v>5250</v>
      </c>
      <c r="F66" s="31" t="n">
        <v>0</v>
      </c>
      <c r="G66" s="31" t="n">
        <v>0</v>
      </c>
      <c r="H66" s="31" t="n">
        <v>5250</v>
      </c>
      <c r="I66" s="31">
        <f>H66*0.1</f>
        <v/>
      </c>
      <c r="J66" s="31" t="n">
        <v>1000</v>
      </c>
      <c r="K66" s="31">
        <f>J66-I66</f>
        <v/>
      </c>
      <c r="L66" s="30" t="n"/>
    </row>
    <row r="67" ht="15" customHeight="1" s="25">
      <c r="A67" s="37" t="inlineStr">
        <is>
          <t>SSA015</t>
        </is>
      </c>
      <c r="B67" s="30" t="inlineStr">
        <is>
          <t>Ray Schriever - 32 Bungama Street Maroochydore QLD 4558</t>
        </is>
      </c>
      <c r="C67" s="33" t="inlineStr">
        <is>
          <t>28/01/26</t>
        </is>
      </c>
      <c r="D67" s="33" t="inlineStr">
        <is>
          <t>pre-reset</t>
        </is>
      </c>
      <c r="E67" s="31" t="n">
        <v>14123.27</v>
      </c>
      <c r="F67" s="31" t="n">
        <v>355.09</v>
      </c>
      <c r="G67" s="31" t="n">
        <v>0</v>
      </c>
      <c r="H67" s="31" t="n">
        <v>14478.36</v>
      </c>
      <c r="I67" s="31">
        <f>H67*0.1</f>
        <v/>
      </c>
      <c r="J67" s="31" t="n">
        <v>1447.84</v>
      </c>
      <c r="K67" s="31">
        <f>J67-I67</f>
        <v/>
      </c>
      <c r="L67" s="30" t="n"/>
    </row>
    <row r="68" ht="15" customHeight="1" s="25">
      <c r="A68" s="37" t="inlineStr">
        <is>
          <t>SSA045</t>
        </is>
      </c>
      <c r="B68" s="30" t="inlineStr">
        <is>
          <t>Glenda Eyears - 4 Wood Street Tenterfield NSW 2372</t>
        </is>
      </c>
      <c r="C68" s="33" t="inlineStr">
        <is>
          <t>27/01/26</t>
        </is>
      </c>
      <c r="D68" s="33" t="inlineStr">
        <is>
          <t>pre-reset</t>
        </is>
      </c>
      <c r="E68" s="31" t="n">
        <v>20173.64</v>
      </c>
      <c r="F68" s="31" t="n">
        <v>-122.73</v>
      </c>
      <c r="G68" s="31" t="n">
        <v>0</v>
      </c>
      <c r="H68" s="31" t="n">
        <v>20050.91</v>
      </c>
      <c r="I68" s="31">
        <f>H68*0.1</f>
        <v/>
      </c>
      <c r="J68" s="31" t="n">
        <v>2005.09</v>
      </c>
      <c r="K68" s="31">
        <f>J68-I68</f>
        <v/>
      </c>
      <c r="L68" s="30" t="n"/>
    </row>
    <row r="69" ht="15" customHeight="1" s="25">
      <c r="A69" s="37" t="inlineStr">
        <is>
          <t>SSA047</t>
        </is>
      </c>
      <c r="B69" s="30" t="inlineStr">
        <is>
          <t>Sandra de Jong - 9 White Street Bingara NSW 2404</t>
        </is>
      </c>
      <c r="C69" s="33" t="inlineStr">
        <is>
          <t>19/01/26</t>
        </is>
      </c>
      <c r="D69" s="33" t="inlineStr">
        <is>
          <t>pre-reset</t>
        </is>
      </c>
      <c r="E69" s="31" t="n">
        <v>9100</v>
      </c>
      <c r="F69" s="31" t="n">
        <v>-81.81999999999999</v>
      </c>
      <c r="G69" s="31" t="n">
        <v>0</v>
      </c>
      <c r="H69" s="31" t="n">
        <v>9018.18</v>
      </c>
      <c r="I69" s="31">
        <f>H69*0.1</f>
        <v/>
      </c>
      <c r="J69" s="31" t="n">
        <v>901.8200000000001</v>
      </c>
      <c r="K69" s="31">
        <f>J69-I69</f>
        <v/>
      </c>
      <c r="L69" s="30" t="n"/>
    </row>
    <row r="70" ht="15" customHeight="1" s="25">
      <c r="A70" s="37" t="inlineStr">
        <is>
          <t>SSA048</t>
        </is>
      </c>
      <c r="B70" s="30" t="inlineStr">
        <is>
          <t>Dale Baldock - 85 Finch Street Bingara NSW 2404</t>
        </is>
      </c>
      <c r="C70" s="33" t="inlineStr">
        <is>
          <t>19/01/26</t>
        </is>
      </c>
      <c r="D70" s="33" t="inlineStr">
        <is>
          <t>pre-reset</t>
        </is>
      </c>
      <c r="E70" s="31" t="n">
        <v>12297.82</v>
      </c>
      <c r="F70" s="31" t="n">
        <v>171.27</v>
      </c>
      <c r="G70" s="31" t="n">
        <v>0</v>
      </c>
      <c r="H70" s="31" t="n">
        <v>12469.09</v>
      </c>
      <c r="I70" s="31">
        <f>H70*0.1</f>
        <v/>
      </c>
      <c r="J70" s="31" t="n">
        <v>1246.91</v>
      </c>
      <c r="K70" s="31">
        <f>J70-I70</f>
        <v/>
      </c>
      <c r="L70" s="30" t="n"/>
    </row>
    <row r="71" ht="15" customHeight="1" s="25">
      <c r="A71" s="37" t="inlineStr">
        <is>
          <t>SSA046</t>
        </is>
      </c>
      <c r="B71" s="30" t="inlineStr">
        <is>
          <t>Eddie Scofield  &amp; Liz Mitchelson - 7674 Bruxner Highway Drake NSW 2469</t>
        </is>
      </c>
      <c r="C71" s="33" t="inlineStr">
        <is>
          <t>15/01/26</t>
        </is>
      </c>
      <c r="D71" s="33" t="inlineStr">
        <is>
          <t>pre-reset</t>
        </is>
      </c>
      <c r="E71" s="31" t="n">
        <v>15984.55</v>
      </c>
      <c r="F71" s="31" t="n">
        <v>-81.81999999999999</v>
      </c>
      <c r="G71" s="31" t="n">
        <v>0</v>
      </c>
      <c r="H71" s="31" t="n">
        <v>15902.73</v>
      </c>
      <c r="I71" s="31">
        <f>H71*0.1</f>
        <v/>
      </c>
      <c r="J71" s="31" t="n">
        <v>1590.27</v>
      </c>
      <c r="K71" s="31">
        <f>J71-I71</f>
        <v/>
      </c>
      <c r="L71" s="30" t="n"/>
    </row>
    <row r="72" ht="15" customHeight="1" s="25">
      <c r="A72" s="37" t="inlineStr">
        <is>
          <t>SSA002</t>
        </is>
      </c>
      <c r="B72" s="30" t="inlineStr">
        <is>
          <t>Cecilia Curtis - 10 Sinclair Street Kambah ACT 2902</t>
        </is>
      </c>
      <c r="C72" s="33" t="inlineStr">
        <is>
          <t>15/12/25</t>
        </is>
      </c>
      <c r="D72" s="33" t="inlineStr">
        <is>
          <t>pre-reset</t>
        </is>
      </c>
      <c r="E72" s="31" t="n">
        <v>3631.82</v>
      </c>
      <c r="F72" s="31" t="n">
        <v>0</v>
      </c>
      <c r="G72" s="31" t="n">
        <v>0</v>
      </c>
      <c r="H72" s="31" t="n">
        <v>3631.82</v>
      </c>
      <c r="I72" s="31">
        <f>H72*0.1</f>
        <v/>
      </c>
      <c r="J72" s="31" t="n">
        <v>350</v>
      </c>
      <c r="K72" s="31">
        <f>J72-I72</f>
        <v/>
      </c>
      <c r="L72" s="30" t="n"/>
    </row>
    <row r="73" ht="15" customHeight="1" s="25">
      <c r="A73" s="37" t="inlineStr">
        <is>
          <t>SSA001</t>
        </is>
      </c>
      <c r="B73" s="30" t="inlineStr">
        <is>
          <t>Judy Mannix - 68 Clanwilliam Street Blackheath NSW 2785</t>
        </is>
      </c>
      <c r="C73" s="33" t="inlineStr">
        <is>
          <t>15/12/25</t>
        </is>
      </c>
      <c r="D73" s="33" t="inlineStr">
        <is>
          <t>pre-reset</t>
        </is>
      </c>
      <c r="E73" s="31" t="n">
        <v>2722.73</v>
      </c>
      <c r="F73" s="31" t="n">
        <v>0</v>
      </c>
      <c r="G73" s="31" t="n">
        <v>0</v>
      </c>
      <c r="H73" s="31" t="n">
        <v>2722.73</v>
      </c>
      <c r="I73" s="31">
        <f>H73*0.1</f>
        <v/>
      </c>
      <c r="J73" s="31" t="n">
        <v>272.27</v>
      </c>
      <c r="K73" s="31">
        <f>J73-I73</f>
        <v/>
      </c>
      <c r="L73" s="30" t="n"/>
    </row>
    <row r="74" ht="15" customHeight="1" s="25">
      <c r="A74" s="37" t="inlineStr">
        <is>
          <t>SSA009</t>
        </is>
      </c>
      <c r="B74" s="30" t="inlineStr">
        <is>
          <t>Trevor Haskins - 77 Lambeth Street Glen Innes NSW 2370</t>
        </is>
      </c>
      <c r="C74" s="33" t="inlineStr">
        <is>
          <t>05/12/25</t>
        </is>
      </c>
      <c r="D74" s="33" t="inlineStr">
        <is>
          <t>pre-reset</t>
        </is>
      </c>
      <c r="E74" s="31" t="n">
        <v>4699</v>
      </c>
      <c r="F74" s="31" t="n">
        <v>0</v>
      </c>
      <c r="G74" s="31" t="n">
        <v>0</v>
      </c>
      <c r="H74" s="31" t="n">
        <v>4699</v>
      </c>
      <c r="I74" s="31">
        <f>H74*0.1</f>
        <v/>
      </c>
      <c r="J74" s="31" t="n">
        <v>469.9</v>
      </c>
      <c r="K74" s="31">
        <f>J74-I74</f>
        <v/>
      </c>
      <c r="L74" s="30" t="n"/>
    </row>
    <row r="75" ht="15" customHeight="1" s="25">
      <c r="A75" s="37" t="inlineStr">
        <is>
          <t>SSA005</t>
        </is>
      </c>
      <c r="B75" s="30" t="inlineStr">
        <is>
          <t>Mark Olley - 7 Dixon Place Jerrabomberra NSW 2619</t>
        </is>
      </c>
      <c r="C75" s="33" t="inlineStr">
        <is>
          <t>01/12/25</t>
        </is>
      </c>
      <c r="D75" s="33" t="inlineStr">
        <is>
          <t>pre-reset</t>
        </is>
      </c>
      <c r="E75" s="31" t="n">
        <v>9995</v>
      </c>
      <c r="F75" s="31" t="n">
        <v>0</v>
      </c>
      <c r="G75" s="31" t="n">
        <v>0</v>
      </c>
      <c r="H75" s="31" t="n">
        <v>9995</v>
      </c>
      <c r="I75" s="31">
        <f>H75*0.1</f>
        <v/>
      </c>
      <c r="J75" s="31" t="n">
        <v>999.5</v>
      </c>
      <c r="K75" s="31">
        <f>J75-I75</f>
        <v/>
      </c>
      <c r="L75" s="30" t="n"/>
    </row>
    <row r="76" ht="15" customHeight="1" s="25">
      <c r="A76" s="37" t="inlineStr">
        <is>
          <t>SSA008</t>
        </is>
      </c>
      <c r="B76" s="30" t="inlineStr">
        <is>
          <t>James Satrapa -</t>
        </is>
      </c>
      <c r="C76" s="33" t="inlineStr">
        <is>
          <t>25/11/25</t>
        </is>
      </c>
      <c r="D76" s="33" t="inlineStr">
        <is>
          <t>pre-reset</t>
        </is>
      </c>
      <c r="E76" s="31" t="n">
        <v>136.36</v>
      </c>
      <c r="F76" s="31" t="n">
        <v>0</v>
      </c>
      <c r="G76" s="31" t="n">
        <v>0</v>
      </c>
      <c r="H76" s="31" t="n">
        <v>136.36</v>
      </c>
      <c r="I76" s="31">
        <f>H76*0.1</f>
        <v/>
      </c>
      <c r="J76" s="31" t="n">
        <v>13.64</v>
      </c>
      <c r="K76" s="31">
        <f>J76-I76</f>
        <v/>
      </c>
      <c r="L76" s="30" t="n"/>
    </row>
    <row r="77" ht="15" customHeight="1" s="25">
      <c r="A77" s="37" t="inlineStr">
        <is>
          <t>SSA006</t>
        </is>
      </c>
      <c r="B77" s="30" t="inlineStr">
        <is>
          <t>David Middleton - 35 Cooya Beach Road Bonnie Doon QLD 4873</t>
        </is>
      </c>
      <c r="C77" s="33" t="inlineStr">
        <is>
          <t>14/11/25</t>
        </is>
      </c>
      <c r="D77" s="33" t="inlineStr">
        <is>
          <t>pre-reset</t>
        </is>
      </c>
      <c r="E77" s="31" t="n">
        <v>17727.27</v>
      </c>
      <c r="F77" s="31" t="n">
        <v>0</v>
      </c>
      <c r="G77" s="31" t="n">
        <v>0</v>
      </c>
      <c r="H77" s="31" t="n">
        <v>17727.27</v>
      </c>
      <c r="I77" s="31">
        <f>H77*0.1</f>
        <v/>
      </c>
      <c r="J77" s="31" t="n">
        <v>1772.73</v>
      </c>
      <c r="K77" s="31">
        <f>J77-I77</f>
        <v/>
      </c>
      <c r="L77" s="30" t="n"/>
    </row>
    <row r="78" ht="15" customHeight="1" s="25">
      <c r="A78" s="37" t="inlineStr">
        <is>
          <t>SSA004</t>
        </is>
      </c>
      <c r="B78" s="30" t="inlineStr">
        <is>
          <t>Benjamin Hart - 46 Grimshaw Street Richardson ACT 2905</t>
        </is>
      </c>
      <c r="C78" s="33" t="inlineStr">
        <is>
          <t>21/10/25</t>
        </is>
      </c>
      <c r="D78" s="33" t="inlineStr">
        <is>
          <t>pre-reset</t>
        </is>
      </c>
      <c r="E78" s="31" t="n">
        <v>2722.73</v>
      </c>
      <c r="F78" s="31" t="n">
        <v>0</v>
      </c>
      <c r="G78" s="31" t="n">
        <v>0</v>
      </c>
      <c r="H78" s="31" t="n">
        <v>2722.73</v>
      </c>
      <c r="I78" s="31">
        <f>H78*0.1</f>
        <v/>
      </c>
      <c r="J78" s="31" t="n">
        <v>272.27</v>
      </c>
      <c r="K78" s="31">
        <f>J78-I78</f>
        <v/>
      </c>
      <c r="L78" s="30" t="n"/>
    </row>
    <row r="79" ht="15" customHeight="1" s="25">
      <c r="A79" s="37" t="inlineStr">
        <is>
          <t>SSA003</t>
        </is>
      </c>
      <c r="B79" s="30" t="inlineStr">
        <is>
          <t>Robert Fitz - 46 Churchill Avenue Orange NSW 2800</t>
        </is>
      </c>
      <c r="C79" s="33" t="inlineStr">
        <is>
          <t>16/10/25</t>
        </is>
      </c>
      <c r="D79" s="33" t="inlineStr">
        <is>
          <t>pre-reset</t>
        </is>
      </c>
      <c r="E79" s="31" t="n">
        <v>4086.36</v>
      </c>
      <c r="F79" s="31" t="n">
        <v>0</v>
      </c>
      <c r="G79" s="31" t="n">
        <v>0</v>
      </c>
      <c r="H79" s="31" t="n">
        <v>4086.36</v>
      </c>
      <c r="I79" s="31">
        <f>H79*0.1</f>
        <v/>
      </c>
      <c r="J79" s="31" t="n">
        <v>408.64</v>
      </c>
      <c r="K79" s="31">
        <f>J79-I79</f>
        <v/>
      </c>
      <c r="L79" s="30" t="n"/>
    </row>
    <row r="80" ht="15" customHeight="1" s="25">
      <c r="A80" s="34" t="inlineStr">
        <is>
          <t>TOTAL</t>
        </is>
      </c>
      <c r="B80" s="44" t="n"/>
      <c r="C80" s="44" t="n"/>
      <c r="D80" s="44" t="n"/>
      <c r="E80" s="35">
        <f>SUM(E5:E79)</f>
        <v/>
      </c>
      <c r="F80" s="35">
        <f>SUM(F5:F79)</f>
        <v/>
      </c>
      <c r="G80" s="35">
        <f>SUM(G5:G79)</f>
        <v/>
      </c>
      <c r="H80" s="35">
        <f>SUM(H5:H79)</f>
        <v/>
      </c>
      <c r="I80" s="35">
        <f>SUM(I5:I79)</f>
        <v/>
      </c>
      <c r="J80" s="35">
        <f>SUM(J5:J79)</f>
        <v/>
      </c>
      <c r="K80" s="35">
        <f>SUM(K5:K79)</f>
        <v/>
      </c>
      <c r="L80" s="44" t="n"/>
    </row>
    <row r="82" ht="15" customHeight="1" s="25">
      <c r="A82" s="27" t="inlineStr">
        <is>
          <t>Commission Payable is the source of truth for the slip and is already net of Formbay (ACP) overs/unders and finance fees. Variance is informational — surfaced, never forced to agree.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4" min="1" max="1"/>
    <col width="44" customWidth="1" style="24" min="2" max="2"/>
    <col width="11" customWidth="1" style="24" min="3" max="3"/>
    <col width="26" customWidth="1" style="24" min="4" max="5"/>
    <col width="8" customWidth="1" style="24" min="6" max="6"/>
    <col width="14" customWidth="1" style="24" min="7" max="7"/>
    <col width="18" customWidth="1" style="24" min="8" max="8"/>
    <col width="16" customWidth="1" style="24" min="9" max="10"/>
    <col width="17" customWidth="1" style="24" min="11" max="11"/>
    <col width="14" customWidth="1" style="24" min="12" max="12"/>
    <col width="17" customWidth="1" style="24" min="13" max="13"/>
    <col width="15" customWidth="1" style="24" min="14" max="14"/>
    <col width="52" customWidth="1" style="24" min="15" max="15"/>
  </cols>
  <sheetData>
    <row r="1" ht="17.35" customHeight="1" s="25">
      <c r="A1" s="26" t="inlineStr">
        <is>
          <t>Installed deals log — every installed deal, pre- and post-reset</t>
        </is>
      </c>
    </row>
    <row r="2" ht="15" customHeight="1" s="25">
      <c r="A2" s="27" t="inlineStr">
        <is>
          <t>HubSpot pull 09/09/26 · reset baseline 20/07/26 · ad spend to 03/09/26</t>
        </is>
      </c>
    </row>
    <row r="4" ht="30" customHeight="1" s="25">
      <c r="A4" s="28" t="inlineStr">
        <is>
          <t>SON</t>
        </is>
      </c>
      <c r="B4" s="28" t="inlineStr">
        <is>
          <t>Deal</t>
        </is>
      </c>
      <c r="C4" s="28" t="inlineStr">
        <is>
          <t>Installed</t>
        </is>
      </c>
      <c r="D4" s="28" t="inlineStr">
        <is>
          <t>Lead Gen</t>
        </is>
      </c>
      <c r="E4" s="28" t="inlineStr">
        <is>
          <t>Specialist</t>
        </is>
      </c>
      <c r="F4" s="28" t="inlineStr">
        <is>
          <t>Type</t>
        </is>
      </c>
      <c r="G4" s="28" t="inlineStr">
        <is>
          <t>Deal Value</t>
        </is>
      </c>
      <c r="H4" s="28" t="inlineStr">
        <is>
          <t>Net Revenue (GST excl.)</t>
        </is>
      </c>
      <c r="I4" s="28" t="inlineStr">
        <is>
          <t>Formbay over/under</t>
        </is>
      </c>
      <c r="J4" s="28" t="inlineStr">
        <is>
          <t>Finance fee impact</t>
        </is>
      </c>
      <c r="K4" s="28" t="inlineStr">
        <is>
          <t>Commission Payable</t>
        </is>
      </c>
      <c r="L4" s="28" t="inlineStr">
        <is>
          <t>Commission</t>
        </is>
      </c>
      <c r="M4" s="28" t="inlineStr">
        <is>
          <t>Variance vs computed</t>
        </is>
      </c>
      <c r="N4" s="28" t="inlineStr">
        <is>
          <t>Counts to Earned</t>
        </is>
      </c>
      <c r="O4" s="28" t="inlineStr">
        <is>
          <t>Flag</t>
        </is>
      </c>
    </row>
    <row r="5" ht="15" customHeight="1" s="25">
      <c r="A5" s="39" t="inlineStr">
        <is>
          <t>250626.DWB01</t>
        </is>
      </c>
      <c r="B5" s="40" t="inlineStr">
        <is>
          <t>Brenda Walker - 6 Jubilee Street Maclean NSW 2463</t>
        </is>
      </c>
      <c r="C5" s="41" t="inlineStr">
        <is>
          <t>07/08/26</t>
        </is>
      </c>
      <c r="D5" s="40" t="inlineStr">
        <is>
          <t>—</t>
        </is>
      </c>
      <c r="E5" s="40" t="inlineStr">
        <is>
          <t>Denzel Winterbeard</t>
        </is>
      </c>
      <c r="F5" s="41" t="inlineStr">
        <is>
          <t>Home</t>
        </is>
      </c>
      <c r="G5" s="43" t="n">
        <v>14988</v>
      </c>
      <c r="H5" s="43" t="n">
        <v>18157.5</v>
      </c>
      <c r="I5" s="43" t="n">
        <v>311.14</v>
      </c>
      <c r="J5" s="43" t="n">
        <v>0</v>
      </c>
      <c r="K5" s="43" t="n">
        <v>907.88</v>
      </c>
      <c r="L5" s="43" t="n">
        <v>453.94</v>
      </c>
      <c r="M5" s="43" t="n">
        <v>-454.67</v>
      </c>
      <c r="N5" s="41" t="inlineStr">
        <is>
          <t>Yes</t>
        </is>
      </c>
      <c r="O5" s="40" t="inlineStr">
        <is>
          <t>Customer referral — no lead gen half ($453.94)</t>
        </is>
      </c>
    </row>
    <row r="6" ht="15" customHeight="1" s="25">
      <c r="A6" s="37" t="inlineStr">
        <is>
          <t>140526.DWB01</t>
        </is>
      </c>
      <c r="B6" s="30" t="inlineStr">
        <is>
          <t>Jenny Real - 37 Stratheden Street Kyogle NSW 2474</t>
        </is>
      </c>
      <c r="C6" s="33" t="inlineStr">
        <is>
          <t>03/08/26</t>
        </is>
      </c>
      <c r="D6" s="30" t="inlineStr">
        <is>
          <t>Max Bradfield, Hugo, Hannah, Denzel Winterbeard</t>
        </is>
      </c>
      <c r="E6" s="30" t="inlineStr">
        <is>
          <t>Denzel Winterbeard</t>
        </is>
      </c>
      <c r="F6" s="33" t="inlineStr">
        <is>
          <t>Away</t>
        </is>
      </c>
      <c r="G6" s="31" t="n">
        <v>5447</v>
      </c>
      <c r="H6" s="31" t="n">
        <v>6215.91</v>
      </c>
      <c r="I6" s="31" t="n">
        <v>144.09</v>
      </c>
      <c r="J6" s="31" t="n">
        <v>0</v>
      </c>
      <c r="K6" s="31" t="n">
        <v>621.59</v>
      </c>
      <c r="L6" s="31" t="n">
        <v>621.6</v>
      </c>
      <c r="M6" s="31" t="n">
        <v>126.41</v>
      </c>
      <c r="N6" s="33" t="inlineStr">
        <is>
          <t>Yes</t>
        </is>
      </c>
      <c r="O6" s="30" t="n"/>
    </row>
    <row r="7" ht="15" customHeight="1" s="25">
      <c r="A7" s="37" t="inlineStr">
        <is>
          <t>230426.JS02</t>
        </is>
      </c>
      <c r="B7" s="30" t="inlineStr">
        <is>
          <t>Amanda Bernauer - 20 Inverell Road Warialda NSW 2402</t>
        </is>
      </c>
      <c r="C7" s="33" t="inlineStr">
        <is>
          <t>25/07/26</t>
        </is>
      </c>
      <c r="D7" s="30" t="inlineStr">
        <is>
          <t>Denzel Winterbeard, Cian Jefferson, Mark Isaac, Max Bradfield, Hugo</t>
        </is>
      </c>
      <c r="E7" s="30" t="inlineStr">
        <is>
          <t>Denzel Winterbeard, Cian Jefferson, Mark Isaac, Max Bradfield, Hugo</t>
        </is>
      </c>
      <c r="F7" s="33" t="inlineStr">
        <is>
          <t>Away</t>
        </is>
      </c>
      <c r="G7" s="31" t="n">
        <v>35355</v>
      </c>
      <c r="H7" s="31" t="n">
        <v>26703.24</v>
      </c>
      <c r="I7" s="31" t="n">
        <v>-355.5</v>
      </c>
      <c r="J7" s="31" t="n">
        <v>-5082.17</v>
      </c>
      <c r="K7" s="31" t="n">
        <v>2670.32</v>
      </c>
      <c r="L7" s="31" t="n">
        <v>2670.3</v>
      </c>
      <c r="M7" s="31" t="n">
        <v>-543.77</v>
      </c>
      <c r="N7" s="33" t="inlineStr">
        <is>
          <t>Yes</t>
        </is>
      </c>
      <c r="O7" s="30" t="n"/>
    </row>
    <row r="8" ht="15" customHeight="1" s="25">
      <c r="A8" s="37" t="inlineStr">
        <is>
          <t>240526.JS01</t>
        </is>
      </c>
      <c r="B8" s="30" t="inlineStr">
        <is>
          <t>Connie Minos - 1349 Bonshaw Road Ashford NSW 2361</t>
        </is>
      </c>
      <c r="C8" s="33" t="inlineStr">
        <is>
          <t>24/07/26</t>
        </is>
      </c>
      <c r="D8" s="30" t="inlineStr">
        <is>
          <t>Rosa, Dermot, Hugo, Max Bradfield, Denzel Winterbeard, Cian Jefferson, Fran, Hannah, Joe</t>
        </is>
      </c>
      <c r="E8" s="30" t="inlineStr">
        <is>
          <t>Joe, Denzel Winterbeard, Cian Jefferson, Max Bradfield, Hugo, Rosa, Dermot, Fran</t>
        </is>
      </c>
      <c r="F8" s="33" t="inlineStr">
        <is>
          <t>Away</t>
        </is>
      </c>
      <c r="G8" s="31" t="n">
        <v>67927</v>
      </c>
      <c r="H8" s="31" t="n">
        <v>62379.46</v>
      </c>
      <c r="I8" s="31" t="n">
        <v>627.64</v>
      </c>
      <c r="J8" s="31" t="n">
        <v>0</v>
      </c>
      <c r="K8" s="31" t="n">
        <v>6237.95</v>
      </c>
      <c r="L8" s="31" t="n">
        <v>6237.99</v>
      </c>
      <c r="M8" s="31" t="n">
        <v>62.77</v>
      </c>
      <c r="N8" s="33" t="inlineStr">
        <is>
          <t>Yes</t>
        </is>
      </c>
      <c r="O8" s="30" t="n"/>
    </row>
    <row r="9" ht="15" customHeight="1" s="25">
      <c r="A9" s="37" t="inlineStr">
        <is>
          <t>130726.HS01</t>
        </is>
      </c>
      <c r="B9" s="30" t="inlineStr">
        <is>
          <t>Jane Armitage - 8/18 Gwydir Terrace Bingara NSW 2404</t>
        </is>
      </c>
      <c r="C9" s="33" t="inlineStr">
        <is>
          <t>24/07/26</t>
        </is>
      </c>
      <c r="D9" s="30" t="inlineStr">
        <is>
          <t>Holly</t>
        </is>
      </c>
      <c r="E9" s="30" t="inlineStr">
        <is>
          <t>Hugo</t>
        </is>
      </c>
      <c r="F9" s="33" t="inlineStr">
        <is>
          <t>Home</t>
        </is>
      </c>
      <c r="G9" s="31" t="n">
        <v>19737</v>
      </c>
      <c r="H9" s="31" t="n">
        <v>18075.73</v>
      </c>
      <c r="I9" s="31" t="n">
        <v>133</v>
      </c>
      <c r="J9" s="31" t="n">
        <v>0</v>
      </c>
      <c r="K9" s="31" t="n">
        <v>1807.57</v>
      </c>
      <c r="L9" s="31" t="n">
        <v>1807.56</v>
      </c>
      <c r="M9" s="31" t="n">
        <v>13.3</v>
      </c>
      <c r="N9" s="33" t="inlineStr">
        <is>
          <t>Yes</t>
        </is>
      </c>
      <c r="O9" s="30" t="n"/>
    </row>
    <row r="10" ht="15" customHeight="1" s="25">
      <c r="A10" s="37" t="inlineStr">
        <is>
          <t>190626.DWB03</t>
        </is>
      </c>
      <c r="B10" s="30" t="inlineStr">
        <is>
          <t>Jennifer Baker - 106 Alma Street Wee Waa NSW 2388</t>
        </is>
      </c>
      <c r="C10" s="33" t="inlineStr">
        <is>
          <t>23/07/26</t>
        </is>
      </c>
      <c r="D10" s="30" t="inlineStr">
        <is>
          <t>Denzel Winterbeard, Cian Jefferson, Max Bradfield, Hugo, Mark Isaac</t>
        </is>
      </c>
      <c r="E10" s="30" t="inlineStr">
        <is>
          <t>Denzel Winterbeard, Cian Jefferson, Max Bradfield, Hugo, Mark Isaac</t>
        </is>
      </c>
      <c r="F10" s="33" t="inlineStr">
        <is>
          <t>Away</t>
        </is>
      </c>
      <c r="G10" s="31" t="n">
        <v>19737</v>
      </c>
      <c r="H10" s="31" t="n">
        <v>18104.55</v>
      </c>
      <c r="I10" s="31" t="n">
        <v>161.82</v>
      </c>
      <c r="J10" s="31" t="n">
        <v>0</v>
      </c>
      <c r="K10" s="31" t="n">
        <v>1810.46</v>
      </c>
      <c r="L10" s="31" t="n">
        <v>1810.45</v>
      </c>
      <c r="M10" s="31" t="n">
        <v>16.19</v>
      </c>
      <c r="N10" s="33" t="inlineStr">
        <is>
          <t>Yes</t>
        </is>
      </c>
      <c r="O10" s="30" t="n"/>
    </row>
    <row r="11" ht="15" customHeight="1" s="25">
      <c r="A11" s="37" t="inlineStr">
        <is>
          <t>170626.DWB01</t>
        </is>
      </c>
      <c r="B11" s="30" t="inlineStr">
        <is>
          <t>Paul &amp; Judy Couley - 92 Boundary Street Wee Waa NSW 2388</t>
        </is>
      </c>
      <c r="C11" s="33" t="inlineStr">
        <is>
          <t>23/07/26</t>
        </is>
      </c>
      <c r="D11" s="30" t="inlineStr">
        <is>
          <t>Hugo, Mark Isaac, Max Bradfield, Cian Jefferson, Denzel Winterbeard</t>
        </is>
      </c>
      <c r="E11" s="30" t="inlineStr">
        <is>
          <t>Denzel Winterbeard, Cian Jefferson, Hugo, Max Bradfield, Mark Isaac</t>
        </is>
      </c>
      <c r="F11" s="33" t="inlineStr">
        <is>
          <t>Away</t>
        </is>
      </c>
      <c r="G11" s="31" t="n">
        <v>23763</v>
      </c>
      <c r="H11" s="31" t="n">
        <v>22046.66</v>
      </c>
      <c r="I11" s="31" t="n">
        <v>613.45</v>
      </c>
      <c r="J11" s="31" t="n">
        <v>-4240.43</v>
      </c>
      <c r="K11" s="31" t="n">
        <v>2204.67</v>
      </c>
      <c r="L11" s="31" t="n">
        <v>2204.65</v>
      </c>
      <c r="M11" s="31" t="n">
        <v>44.4</v>
      </c>
      <c r="N11" s="33" t="inlineStr">
        <is>
          <t>Yes</t>
        </is>
      </c>
      <c r="O11" s="30" t="n"/>
    </row>
    <row r="12" ht="15" customHeight="1" s="25">
      <c r="A12" s="37" t="inlineStr">
        <is>
          <t>190626.DWB01</t>
        </is>
      </c>
      <c r="B12" s="30" t="inlineStr">
        <is>
          <t>Katie Young - 66 Dangar Street Narrabri NSW 2390</t>
        </is>
      </c>
      <c r="C12" s="33" t="inlineStr">
        <is>
          <t>22/07/26</t>
        </is>
      </c>
      <c r="D12" s="30" t="inlineStr">
        <is>
          <t>Cian Jefferson, Denzel Winterbeard, Max Bradfield, Hugo, Mark Isaac</t>
        </is>
      </c>
      <c r="E12" s="30" t="inlineStr">
        <is>
          <t>Denzel Winterbeard, Cian Jefferson, Max Bradfield, Hugo, Mark Isaac</t>
        </is>
      </c>
      <c r="F12" s="33" t="inlineStr">
        <is>
          <t>Away</t>
        </is>
      </c>
      <c r="G12" s="31" t="n">
        <v>28945</v>
      </c>
      <c r="H12" s="31" t="n">
        <v>26685.4</v>
      </c>
      <c r="I12" s="31" t="n">
        <v>525.09</v>
      </c>
      <c r="J12" s="31" t="n">
        <v>-4923.33</v>
      </c>
      <c r="K12" s="31" t="n">
        <v>2668.54</v>
      </c>
      <c r="L12" s="31" t="n">
        <v>2668.55</v>
      </c>
      <c r="M12" s="31" t="n">
        <v>37.18</v>
      </c>
      <c r="N12" s="33" t="inlineStr">
        <is>
          <t>Yes</t>
        </is>
      </c>
      <c r="O12" s="30" t="n"/>
    </row>
    <row r="13" ht="15" customHeight="1" s="25">
      <c r="A13" s="37" t="inlineStr">
        <is>
          <t>180526.DWB02</t>
        </is>
      </c>
      <c r="B13" s="30" t="inlineStr">
        <is>
          <t>Christine &amp; Peter Broderick - 24 Frazer Street Ashford NSW 2361</t>
        </is>
      </c>
      <c r="C13" s="33" t="inlineStr">
        <is>
          <t>22/07/26</t>
        </is>
      </c>
      <c r="D13" s="30" t="inlineStr">
        <is>
          <t>Fran, Denzel Winterbeard, Cian Jefferson, Max Bradfield, Hugo, Dermot, Rosa</t>
        </is>
      </c>
      <c r="E13" s="30" t="inlineStr">
        <is>
          <t>Denzel Winterbeard, Cian Jefferson, Max Bradfield, Hugo, Fran, Dermot, Rosa</t>
        </is>
      </c>
      <c r="F13" s="33" t="inlineStr">
        <is>
          <t>Away</t>
        </is>
      </c>
      <c r="G13" s="31" t="n">
        <v>7032</v>
      </c>
      <c r="H13" s="31" t="n">
        <v>6460.36</v>
      </c>
      <c r="I13" s="31" t="n">
        <v>-416</v>
      </c>
      <c r="J13" s="31" t="n">
        <v>0</v>
      </c>
      <c r="K13" s="31" t="n">
        <v>646.04</v>
      </c>
      <c r="L13" s="31" t="n">
        <v>646.03</v>
      </c>
      <c r="M13" s="31" t="n">
        <v>6.77</v>
      </c>
      <c r="N13" s="33" t="inlineStr">
        <is>
          <t>Yes</t>
        </is>
      </c>
      <c r="O13" s="30" t="n"/>
    </row>
    <row r="14" ht="15" customHeight="1" s="25">
      <c r="A14" s="37" t="inlineStr">
        <is>
          <t>120626.JS01</t>
        </is>
      </c>
      <c r="B14" s="30" t="inlineStr">
        <is>
          <t>Rebecca Hudson - 93 Main Street Clunes NSW 2480</t>
        </is>
      </c>
      <c r="C14" s="33" t="inlineStr">
        <is>
          <t>14/07/26</t>
        </is>
      </c>
      <c r="D14" s="30" t="inlineStr">
        <is>
          <t>Cian Jefferson, Hugo</t>
        </is>
      </c>
      <c r="E14" s="30" t="inlineStr">
        <is>
          <t>Joe, Denzel Winterbeard</t>
        </is>
      </c>
      <c r="F14" s="33" t="inlineStr">
        <is>
          <t>Away</t>
        </is>
      </c>
      <c r="G14" s="31" t="n">
        <v>28992</v>
      </c>
      <c r="H14" s="31" t="n">
        <v>21966.97</v>
      </c>
      <c r="I14" s="31" t="n">
        <v>-93.64</v>
      </c>
      <c r="J14" s="31" t="n">
        <v>-3960.3</v>
      </c>
      <c r="K14" s="31" t="n">
        <v>2196.7</v>
      </c>
      <c r="L14" s="31" t="n">
        <v>2196.68</v>
      </c>
      <c r="M14" s="31" t="n">
        <v>-438.94</v>
      </c>
      <c r="N14" s="33" t="inlineStr">
        <is>
          <t>No</t>
        </is>
      </c>
      <c r="O14" s="30" t="n"/>
    </row>
    <row r="15" ht="15" customHeight="1" s="25">
      <c r="A15" s="37" t="inlineStr">
        <is>
          <t>SSA039</t>
        </is>
      </c>
      <c r="B15" s="30" t="inlineStr">
        <is>
          <t>Cristopher Iquin - 5 Euro Way Djugun WA 6725</t>
        </is>
      </c>
      <c r="C15" s="33" t="inlineStr">
        <is>
          <t>13/07/26</t>
        </is>
      </c>
      <c r="D15" s="30" t="inlineStr">
        <is>
          <t>Holly</t>
        </is>
      </c>
      <c r="E15" s="30" t="inlineStr">
        <is>
          <t>Joe</t>
        </is>
      </c>
      <c r="F15" s="33" t="inlineStr">
        <is>
          <t>Home</t>
        </is>
      </c>
      <c r="G15" s="31" t="n">
        <v>37273.2</v>
      </c>
      <c r="H15" s="31" t="n">
        <v>22069.64</v>
      </c>
      <c r="I15" s="31" t="n">
        <v>71.55</v>
      </c>
      <c r="J15" s="31" t="n">
        <v>-3741</v>
      </c>
      <c r="K15" s="31" t="n">
        <v>2206.96</v>
      </c>
      <c r="L15" s="31" t="n">
        <v>2206.96</v>
      </c>
      <c r="M15" s="31" t="n">
        <v>-1181.51</v>
      </c>
      <c r="N15" s="33" t="inlineStr">
        <is>
          <t>No</t>
        </is>
      </c>
      <c r="O15" s="30" t="n"/>
    </row>
    <row r="16" ht="15" customHeight="1" s="25">
      <c r="A16" s="37" t="inlineStr">
        <is>
          <t>100626.JS01</t>
        </is>
      </c>
      <c r="B16" s="30" t="inlineStr">
        <is>
          <t>Georgina Kelly - 21 Puertollano Place Broome WA 6725</t>
        </is>
      </c>
      <c r="C16" s="33" t="inlineStr">
        <is>
          <t>10/07/26</t>
        </is>
      </c>
      <c r="D16" s="30" t="inlineStr">
        <is>
          <t>Holly</t>
        </is>
      </c>
      <c r="E16" s="30" t="inlineStr">
        <is>
          <t>Cian Jefferson</t>
        </is>
      </c>
      <c r="F16" s="33" t="inlineStr">
        <is>
          <t>Home</t>
        </is>
      </c>
      <c r="G16" s="31" t="n">
        <v>29100</v>
      </c>
      <c r="H16" s="31" t="n">
        <v>20195.24</v>
      </c>
      <c r="I16" s="31" t="n">
        <v>363.36</v>
      </c>
      <c r="J16" s="31" t="n">
        <v>-5088.48</v>
      </c>
      <c r="K16" s="31" t="n">
        <v>2019.52</v>
      </c>
      <c r="L16" s="31" t="n">
        <v>2019.52</v>
      </c>
      <c r="M16" s="31" t="n">
        <v>-625.9299999999999</v>
      </c>
      <c r="N16" s="33" t="inlineStr">
        <is>
          <t>No</t>
        </is>
      </c>
      <c r="O16" s="30" t="n"/>
    </row>
    <row r="17" ht="15" customHeight="1" s="25">
      <c r="A17" s="37" t="inlineStr">
        <is>
          <t>230526.DWB02</t>
        </is>
      </c>
      <c r="B17" s="30" t="inlineStr">
        <is>
          <t>Barry O'Farrell - 45 Frazer Street Ashford NSW 2361</t>
        </is>
      </c>
      <c r="C17" s="33" t="inlineStr">
        <is>
          <t>07/07/26</t>
        </is>
      </c>
      <c r="D17" s="30" t="inlineStr">
        <is>
          <t>Denzel Winterbeard, Cian Jefferson, Hugo, Max Bradfield, Rosa, Dermot, Fran</t>
        </is>
      </c>
      <c r="E17" s="30" t="inlineStr">
        <is>
          <t>Denzel Winterbeard, Cian Jefferson, Max Bradfield, Hugo, Fran, Dermot, Rosa</t>
        </is>
      </c>
      <c r="F17" s="33" t="inlineStr">
        <is>
          <t>Away</t>
        </is>
      </c>
      <c r="G17" s="31" t="n">
        <v>26747</v>
      </c>
      <c r="H17" s="31" t="n">
        <v>24616.63</v>
      </c>
      <c r="I17" s="31" t="n">
        <v>335.73</v>
      </c>
      <c r="J17" s="31" t="n">
        <v>0</v>
      </c>
      <c r="K17" s="31" t="n">
        <v>2461.66</v>
      </c>
      <c r="L17" s="31" t="n">
        <v>2461.69</v>
      </c>
      <c r="M17" s="31" t="n">
        <v>30.11</v>
      </c>
      <c r="N17" s="33" t="inlineStr">
        <is>
          <t>No</t>
        </is>
      </c>
      <c r="O17" s="30" t="n"/>
    </row>
    <row r="18" ht="15" customHeight="1" s="25">
      <c r="A18" s="37" t="inlineStr">
        <is>
          <t>190526.DWB04</t>
        </is>
      </c>
      <c r="B18" s="30" t="inlineStr">
        <is>
          <t>Beverly &amp; Graeme Voss - 3 David Street Ashford NSW 2361</t>
        </is>
      </c>
      <c r="C18" s="33" t="inlineStr">
        <is>
          <t>06/07/26</t>
        </is>
      </c>
      <c r="D18" s="30" t="inlineStr">
        <is>
          <t>Rosa, Denzel Winterbeard, Cian Jefferson, Max Bradfield, Hugo, Fran</t>
        </is>
      </c>
      <c r="E18" s="30" t="inlineStr">
        <is>
          <t>Denzel Winterbeard, Cian Jefferson, Max Bradfield, Hugo, Fran, Rosa, Dermot</t>
        </is>
      </c>
      <c r="F18" s="33" t="inlineStr">
        <is>
          <t>Away</t>
        </is>
      </c>
      <c r="G18" s="31" t="n">
        <v>27325</v>
      </c>
      <c r="H18" s="31" t="n">
        <v>25059.15</v>
      </c>
      <c r="I18" s="31" t="n">
        <v>625.8200000000001</v>
      </c>
      <c r="J18" s="31" t="n">
        <v>-4915.76</v>
      </c>
      <c r="K18" s="31" t="n">
        <v>2505.92</v>
      </c>
      <c r="L18" s="31" t="n">
        <v>2505.93</v>
      </c>
      <c r="M18" s="31" t="n">
        <v>21.83</v>
      </c>
      <c r="N18" s="33" t="inlineStr">
        <is>
          <t>No</t>
        </is>
      </c>
      <c r="O18" s="30" t="n"/>
    </row>
    <row r="19" ht="15" customHeight="1" s="25">
      <c r="A19" s="37" t="inlineStr">
        <is>
          <t>060526.DWB01</t>
        </is>
      </c>
      <c r="B19" s="30" t="inlineStr">
        <is>
          <t>Craig Robinson- 14 Cedar Street Woodburn NSW 2472</t>
        </is>
      </c>
      <c r="C19" s="33" t="inlineStr">
        <is>
          <t>06/07/26</t>
        </is>
      </c>
      <c r="D19" s="30" t="inlineStr">
        <is>
          <t>Harley</t>
        </is>
      </c>
      <c r="E19" s="30" t="inlineStr">
        <is>
          <t>Denzel Winterbeard</t>
        </is>
      </c>
      <c r="F19" s="33" t="inlineStr">
        <is>
          <t>Home</t>
        </is>
      </c>
      <c r="G19" s="31" t="n">
        <v>17113</v>
      </c>
      <c r="H19" s="31" t="n">
        <v>17605.45</v>
      </c>
      <c r="I19" s="31" t="n">
        <v>-224.55</v>
      </c>
      <c r="J19" s="31" t="n">
        <v>0</v>
      </c>
      <c r="K19" s="31" t="n">
        <v>1760.55</v>
      </c>
      <c r="L19" s="31" t="n">
        <v>1760.54</v>
      </c>
      <c r="M19" s="31" t="n">
        <v>204.82</v>
      </c>
      <c r="N19" s="33" t="inlineStr">
        <is>
          <t>No</t>
        </is>
      </c>
      <c r="O19" s="30" t="n"/>
    </row>
    <row r="20" ht="15" customHeight="1" s="25">
      <c r="A20" s="37" t="inlineStr">
        <is>
          <t>130526.JS01</t>
        </is>
      </c>
      <c r="B20" s="30" t="inlineStr">
        <is>
          <t>Daryl Boyd - 48 Martyn Street Ashford NSW 2361</t>
        </is>
      </c>
      <c r="C20" s="33" t="inlineStr">
        <is>
          <t>03/07/26</t>
        </is>
      </c>
      <c r="D20" s="30" t="inlineStr">
        <is>
          <t>Denzel Winterbeard, Cian Jefferson, Max Bradfield, Hugo, Mark Isaac, Joe</t>
        </is>
      </c>
      <c r="E20" s="30" t="inlineStr">
        <is>
          <t>Cian Jefferson, Denzel Winterbeard, Max Bradfield, Hugo, Mark Isaac, Joe</t>
        </is>
      </c>
      <c r="F20" s="33" t="inlineStr">
        <is>
          <t>Away</t>
        </is>
      </c>
      <c r="G20" s="31" t="n">
        <v>24878</v>
      </c>
      <c r="H20" s="31" t="n">
        <v>22351.27</v>
      </c>
      <c r="I20" s="31" t="n">
        <v>-265.09</v>
      </c>
      <c r="J20" s="31" t="n">
        <v>0</v>
      </c>
      <c r="K20" s="31" t="n">
        <v>2235.13</v>
      </c>
      <c r="L20" s="31" t="n">
        <v>2235.12</v>
      </c>
      <c r="M20" s="31" t="n">
        <v>-26.51</v>
      </c>
      <c r="N20" s="33" t="inlineStr">
        <is>
          <t>No</t>
        </is>
      </c>
      <c r="O20" s="30" t="n"/>
    </row>
    <row r="21" ht="15" customHeight="1" s="25">
      <c r="A21" s="39" t="inlineStr">
        <is>
          <t>070426.DWB01</t>
        </is>
      </c>
      <c r="B21" s="40" t="inlineStr">
        <is>
          <t>Terry Moore - 6 Bank Street Woodburn NSW 2472</t>
        </is>
      </c>
      <c r="C21" s="41" t="inlineStr">
        <is>
          <t>03/07/26</t>
        </is>
      </c>
      <c r="D21" s="40" t="inlineStr">
        <is>
          <t>Fran</t>
        </is>
      </c>
      <c r="E21" s="40" t="inlineStr">
        <is>
          <t>Denzel Winterbeard</t>
        </is>
      </c>
      <c r="F21" s="41" t="inlineStr">
        <is>
          <t>Home</t>
        </is>
      </c>
      <c r="G21" s="43" t="n">
        <v>29377</v>
      </c>
      <c r="H21" s="43" t="n">
        <v>27402.91</v>
      </c>
      <c r="I21" s="43" t="n">
        <v>696.54</v>
      </c>
      <c r="J21" s="43" t="n">
        <v>0</v>
      </c>
      <c r="K21" s="43" t="n">
        <v>1370.15</v>
      </c>
      <c r="L21" s="43" t="n">
        <v>1370.16</v>
      </c>
      <c r="M21" s="43" t="n">
        <v>-1300.49</v>
      </c>
      <c r="N21" s="41" t="inlineStr">
        <is>
          <t>No</t>
        </is>
      </c>
      <c r="O21" s="40" t="inlineStr">
        <is>
          <t>Pricing error — $2,500.00 deducted from Denzel on the commission slip</t>
        </is>
      </c>
    </row>
    <row r="22" ht="15" customHeight="1" s="25">
      <c r="A22" s="37" t="inlineStr">
        <is>
          <t>070526.DWB02</t>
        </is>
      </c>
      <c r="B22" s="30" t="inlineStr">
        <is>
          <t>Rosalee &amp; Greg Foran - 2 Bank Street Woodburn NSW 2471</t>
        </is>
      </c>
      <c r="C22" s="33" t="inlineStr">
        <is>
          <t>02/07/26</t>
        </is>
      </c>
      <c r="D22" s="30" t="inlineStr">
        <is>
          <t>Cian Jefferson</t>
        </is>
      </c>
      <c r="E22" s="30" t="inlineStr">
        <is>
          <t>Denzel Winterbeard</t>
        </is>
      </c>
      <c r="F22" s="33" t="inlineStr">
        <is>
          <t>Home</t>
        </is>
      </c>
      <c r="G22" s="31" t="n">
        <v>23615</v>
      </c>
      <c r="H22" s="31" t="n">
        <v>27338.36</v>
      </c>
      <c r="I22" s="31" t="n">
        <v>188.36</v>
      </c>
      <c r="J22" s="31" t="n">
        <v>0</v>
      </c>
      <c r="K22" s="31" t="n">
        <v>2733.84</v>
      </c>
      <c r="L22" s="31" t="n">
        <v>2733.84</v>
      </c>
      <c r="M22" s="31" t="n">
        <v>587.02</v>
      </c>
      <c r="N22" s="33" t="inlineStr">
        <is>
          <t>No</t>
        </is>
      </c>
      <c r="O22" s="30" t="n"/>
    </row>
    <row r="23" ht="15" customHeight="1" s="25">
      <c r="A23" s="37" t="inlineStr">
        <is>
          <t>100626.JS02</t>
        </is>
      </c>
      <c r="B23" s="30" t="inlineStr">
        <is>
          <t>Lee Achurch - 11 Myall Street Evans Head NSW 2473</t>
        </is>
      </c>
      <c r="C23" s="33" t="inlineStr">
        <is>
          <t>01/07/26</t>
        </is>
      </c>
      <c r="D23" s="30" t="inlineStr">
        <is>
          <t>Fran</t>
        </is>
      </c>
      <c r="E23" s="30" t="inlineStr">
        <is>
          <t>Joe</t>
        </is>
      </c>
      <c r="F23" s="33" t="inlineStr">
        <is>
          <t>Home</t>
        </is>
      </c>
      <c r="G23" s="31" t="n">
        <v>12925</v>
      </c>
      <c r="H23" s="31" t="n">
        <v>11709.77</v>
      </c>
      <c r="I23" s="31" t="n">
        <v>-40.23</v>
      </c>
      <c r="J23" s="31" t="n">
        <v>0</v>
      </c>
      <c r="K23" s="31" t="n">
        <v>1170.98</v>
      </c>
      <c r="L23" s="31" t="n">
        <v>1170.98</v>
      </c>
      <c r="M23" s="31" t="n">
        <v>-4.02</v>
      </c>
      <c r="N23" s="33" t="inlineStr">
        <is>
          <t>No</t>
        </is>
      </c>
      <c r="O23" s="30" t="n"/>
    </row>
    <row r="24" ht="15" customHeight="1" s="25">
      <c r="A24" s="37" t="inlineStr">
        <is>
          <t>260526.DWB02</t>
        </is>
      </c>
      <c r="B24" s="30" t="inlineStr">
        <is>
          <t>Adrian Currell - 37 Cameron Street Maclean NSW 2463</t>
        </is>
      </c>
      <c r="C24" s="33" t="inlineStr">
        <is>
          <t>26/06/26</t>
        </is>
      </c>
      <c r="D24" s="30" t="inlineStr">
        <is>
          <t>Hugo</t>
        </is>
      </c>
      <c r="E24" s="30" t="inlineStr">
        <is>
          <t>Denzel Winterbeard</t>
        </is>
      </c>
      <c r="F24" s="33" t="inlineStr">
        <is>
          <t>Home</t>
        </is>
      </c>
      <c r="G24" s="31" t="n">
        <v>16488</v>
      </c>
      <c r="H24" s="31" t="n">
        <v>15012.36</v>
      </c>
      <c r="I24" s="31" t="n">
        <v>23.27</v>
      </c>
      <c r="J24" s="31" t="n">
        <v>0</v>
      </c>
      <c r="K24" s="31" t="n">
        <v>1501.24</v>
      </c>
      <c r="L24" s="31" t="n">
        <v>1501.24</v>
      </c>
      <c r="M24" s="31" t="n">
        <v>2.33</v>
      </c>
      <c r="N24" s="33" t="inlineStr">
        <is>
          <t>No</t>
        </is>
      </c>
      <c r="O24" s="30" t="n"/>
    </row>
    <row r="25" ht="15" customHeight="1" s="25">
      <c r="A25" s="37" t="inlineStr">
        <is>
          <t>160526.DWB01</t>
        </is>
      </c>
      <c r="B25" s="30" t="inlineStr">
        <is>
          <t>Christopher Hutton - 31 Boorabee Street Kyogle NSW 2474</t>
        </is>
      </c>
      <c r="C25" s="33" t="inlineStr">
        <is>
          <t>24/06/26</t>
        </is>
      </c>
      <c r="D25" s="30" t="inlineStr">
        <is>
          <t>Hugo, Max Bradfield</t>
        </is>
      </c>
      <c r="E25" s="30" t="inlineStr">
        <is>
          <t>Denzel Winterbeard</t>
        </is>
      </c>
      <c r="F25" s="33" t="inlineStr">
        <is>
          <t>Away</t>
        </is>
      </c>
      <c r="G25" s="31" t="n">
        <v>15439</v>
      </c>
      <c r="H25" s="31" t="n">
        <v>18500.03</v>
      </c>
      <c r="I25" s="31" t="n">
        <v>-19.27</v>
      </c>
      <c r="J25" s="31" t="n">
        <v>0</v>
      </c>
      <c r="K25" s="31" t="n">
        <v>1850</v>
      </c>
      <c r="L25" s="31" t="n">
        <v>1850.01</v>
      </c>
      <c r="M25" s="31" t="n">
        <v>446.45</v>
      </c>
      <c r="N25" s="33" t="inlineStr">
        <is>
          <t>No</t>
        </is>
      </c>
      <c r="O25" s="30" t="n"/>
    </row>
    <row r="26" ht="15" customHeight="1" s="25">
      <c r="A26" s="37" t="inlineStr">
        <is>
          <t>SSA040</t>
        </is>
      </c>
      <c r="B26" s="30" t="inlineStr">
        <is>
          <t>Don Wood - 11 Pembroke Road Broome WA 6725</t>
        </is>
      </c>
      <c r="C26" s="33" t="inlineStr">
        <is>
          <t>18/06/26</t>
        </is>
      </c>
      <c r="D26" s="30" t="inlineStr">
        <is>
          <t>Joe</t>
        </is>
      </c>
      <c r="E26" s="30" t="inlineStr">
        <is>
          <t>Joe</t>
        </is>
      </c>
      <c r="F26" s="33" t="inlineStr">
        <is>
          <t>Home</t>
        </is>
      </c>
      <c r="G26" s="31" t="n">
        <v>78848</v>
      </c>
      <c r="H26" s="31" t="n">
        <v>55192.82</v>
      </c>
      <c r="I26" s="31" t="n">
        <v>1616</v>
      </c>
      <c r="J26" s="31" t="n">
        <v>-9847.73</v>
      </c>
      <c r="K26" s="31" t="n">
        <v>5519.28</v>
      </c>
      <c r="L26" s="31" t="n">
        <v>5519.28</v>
      </c>
      <c r="M26" s="31" t="n">
        <v>-1648.72</v>
      </c>
      <c r="N26" s="33" t="inlineStr">
        <is>
          <t>No</t>
        </is>
      </c>
      <c r="O26" s="30" t="n"/>
    </row>
    <row r="27" ht="15" customHeight="1" s="25">
      <c r="A27" s="37" t="inlineStr">
        <is>
          <t>SSA043</t>
        </is>
      </c>
      <c r="B27" s="30" t="inlineStr">
        <is>
          <t>Ian Mcgrath - 6 Rivergum Avenue Broome WA 6725</t>
        </is>
      </c>
      <c r="C27" s="33" t="inlineStr">
        <is>
          <t>17/06/26</t>
        </is>
      </c>
      <c r="D27" s="30" t="inlineStr">
        <is>
          <t>Joe</t>
        </is>
      </c>
      <c r="E27" s="30" t="inlineStr">
        <is>
          <t>Joe</t>
        </is>
      </c>
      <c r="F27" s="33" t="inlineStr">
        <is>
          <t>Home</t>
        </is>
      </c>
      <c r="G27" s="31" t="n">
        <v>45416.8</v>
      </c>
      <c r="H27" s="31" t="n">
        <v>38463.66</v>
      </c>
      <c r="I27" s="31" t="n">
        <v>989.09</v>
      </c>
      <c r="J27" s="31" t="n">
        <v>-6987.25</v>
      </c>
      <c r="K27" s="31" t="n">
        <v>3846.37</v>
      </c>
      <c r="L27" s="31" t="n">
        <v>3846.37</v>
      </c>
      <c r="M27" s="31" t="n">
        <v>-282.43</v>
      </c>
      <c r="N27" s="33" t="inlineStr">
        <is>
          <t>No</t>
        </is>
      </c>
      <c r="O27" s="30" t="n"/>
    </row>
    <row r="28" ht="15" customHeight="1" s="25">
      <c r="A28" s="37" t="inlineStr">
        <is>
          <t>SSA056</t>
        </is>
      </c>
      <c r="B28" s="30" t="inlineStr">
        <is>
          <t>Mick Prokopiwskyi - 9 McMillan Court Newborough VIC 3825</t>
        </is>
      </c>
      <c r="C28" s="33" t="inlineStr">
        <is>
          <t>15/06/26</t>
        </is>
      </c>
      <c r="D28" s="30" t="inlineStr">
        <is>
          <t>Beau Jolly</t>
        </is>
      </c>
      <c r="E28" s="30" t="inlineStr">
        <is>
          <t>Beau Jolly</t>
        </is>
      </c>
      <c r="F28" s="33" t="inlineStr">
        <is>
          <t>Home</t>
        </is>
      </c>
      <c r="G28" s="31" t="n">
        <v>34986.6</v>
      </c>
      <c r="H28" s="31" t="n">
        <v>30774</v>
      </c>
      <c r="I28" s="31" t="n">
        <v>-1183.27</v>
      </c>
      <c r="J28" s="31" t="n">
        <v>0</v>
      </c>
      <c r="K28" s="31" t="n">
        <v>3077.4</v>
      </c>
      <c r="L28" s="31" t="n">
        <v>3077.4</v>
      </c>
      <c r="M28" s="31" t="n">
        <v>-103.2</v>
      </c>
      <c r="N28" s="33" t="inlineStr">
        <is>
          <t>No</t>
        </is>
      </c>
      <c r="O28" s="30" t="n"/>
    </row>
    <row r="29" ht="15" customHeight="1" s="25">
      <c r="A29" s="39" t="inlineStr">
        <is>
          <t>SSA041</t>
        </is>
      </c>
      <c r="B29" s="40" t="inlineStr">
        <is>
          <t>Allan Marks - 27 Hay Road Cable Beach WA 6726</t>
        </is>
      </c>
      <c r="C29" s="41" t="inlineStr">
        <is>
          <t>12/06/26</t>
        </is>
      </c>
      <c r="D29" s="40" t="inlineStr">
        <is>
          <t>—</t>
        </is>
      </c>
      <c r="E29" s="40" t="inlineStr">
        <is>
          <t>Joe</t>
        </is>
      </c>
      <c r="F29" s="41" t="inlineStr">
        <is>
          <t>Home</t>
        </is>
      </c>
      <c r="G29" s="43" t="n">
        <v>26011.6</v>
      </c>
      <c r="H29" s="43" t="n">
        <v>21418.91</v>
      </c>
      <c r="I29" s="43" t="n">
        <v>-49.27</v>
      </c>
      <c r="J29" s="43" t="n">
        <v>0</v>
      </c>
      <c r="K29" s="43" t="n">
        <v>1070.95</v>
      </c>
      <c r="L29" s="43" t="n">
        <v>535.48</v>
      </c>
      <c r="M29" s="43" t="n">
        <v>-1293.74</v>
      </c>
      <c r="N29" s="41" t="inlineStr">
        <is>
          <t>No</t>
        </is>
      </c>
      <c r="O29" s="40" t="inlineStr">
        <is>
          <t>Customer referral — no lead gen half ($535.48)</t>
        </is>
      </c>
    </row>
    <row r="30" ht="15" customHeight="1" s="25">
      <c r="A30" s="39" t="inlineStr">
        <is>
          <t>SSA057</t>
        </is>
      </c>
      <c r="B30" s="40" t="inlineStr">
        <is>
          <t>Tom Jolly - 11 Ness Street Diamond Creek VIC 3089</t>
        </is>
      </c>
      <c r="C30" s="41" t="inlineStr">
        <is>
          <t>10/06/26</t>
        </is>
      </c>
      <c r="D30" s="40" t="inlineStr">
        <is>
          <t>Joe</t>
        </is>
      </c>
      <c r="E30" s="40" t="inlineStr">
        <is>
          <t>Joe</t>
        </is>
      </c>
      <c r="F30" s="41" t="inlineStr">
        <is>
          <t>Home</t>
        </is>
      </c>
      <c r="G30" s="43" t="n">
        <v>35698.8</v>
      </c>
      <c r="H30" s="43" t="n">
        <v>25594.37</v>
      </c>
      <c r="I30" s="43" t="n">
        <v>204.37</v>
      </c>
      <c r="J30" s="43" t="n">
        <v>0</v>
      </c>
      <c r="K30" s="43" t="n">
        <v>0</v>
      </c>
      <c r="L30" s="43" t="n">
        <v>0</v>
      </c>
      <c r="M30" s="43" t="n">
        <v>-3245.35</v>
      </c>
      <c r="N30" s="41" t="inlineStr">
        <is>
          <t>No</t>
        </is>
      </c>
      <c r="O30" s="40" t="inlineStr">
        <is>
          <t>Gated with no Commission Payable — suppressed to zero, paying nobody</t>
        </is>
      </c>
    </row>
    <row r="31" ht="15" customHeight="1" s="25">
      <c r="A31" s="37" t="inlineStr">
        <is>
          <t>180526.JS01</t>
        </is>
      </c>
      <c r="B31" s="30" t="inlineStr">
        <is>
          <t>Dee &amp; Steve Mansfield - 6 Rosewood Place Kyogle NSW 2474</t>
        </is>
      </c>
      <c r="C31" s="33" t="inlineStr">
        <is>
          <t>02/06/26</t>
        </is>
      </c>
      <c r="D31" s="30" t="inlineStr">
        <is>
          <t>Joe, Dermot</t>
        </is>
      </c>
      <c r="E31" s="30" t="inlineStr">
        <is>
          <t>Joe</t>
        </is>
      </c>
      <c r="F31" s="33" t="inlineStr">
        <is>
          <t>Home</t>
        </is>
      </c>
      <c r="G31" s="31" t="n">
        <v>45915</v>
      </c>
      <c r="H31" s="31" t="n">
        <v>43140.09</v>
      </c>
      <c r="I31" s="31" t="n">
        <v>1210.09</v>
      </c>
      <c r="J31" s="31" t="n">
        <v>0</v>
      </c>
      <c r="K31" s="31" t="n">
        <v>4314.01</v>
      </c>
      <c r="L31" s="31" t="n">
        <v>4314.01</v>
      </c>
      <c r="M31" s="31" t="n">
        <v>139.92</v>
      </c>
      <c r="N31" s="33" t="inlineStr">
        <is>
          <t>No</t>
        </is>
      </c>
      <c r="O31" s="30" t="n"/>
    </row>
    <row r="32" ht="15" customHeight="1" s="25">
      <c r="A32" s="37" t="inlineStr">
        <is>
          <t>SSA032</t>
        </is>
      </c>
      <c r="B32" s="30" t="inlineStr">
        <is>
          <t>Damien Woodmansey - 126-128 Hoddle Street Howlong NSW 2643</t>
        </is>
      </c>
      <c r="C32" s="33" t="inlineStr">
        <is>
          <t>31/05/26</t>
        </is>
      </c>
      <c r="D32" s="30" t="inlineStr">
        <is>
          <t>Beau Jolly</t>
        </is>
      </c>
      <c r="E32" s="30" t="inlineStr">
        <is>
          <t>Joe</t>
        </is>
      </c>
      <c r="F32" s="33" t="inlineStr">
        <is>
          <t>Home</t>
        </is>
      </c>
      <c r="G32" s="31" t="n">
        <v>20594.6</v>
      </c>
      <c r="H32" s="31" t="n">
        <v>15159.81</v>
      </c>
      <c r="I32" s="31" t="n">
        <v>-2419.64</v>
      </c>
      <c r="J32" s="31" t="n">
        <v>-1920.55</v>
      </c>
      <c r="K32" s="31" t="n">
        <v>2200</v>
      </c>
      <c r="L32" s="31" t="n">
        <v>2200</v>
      </c>
      <c r="M32" s="31" t="n">
        <v>327.76</v>
      </c>
      <c r="N32" s="33" t="inlineStr">
        <is>
          <t>No</t>
        </is>
      </c>
      <c r="O32" s="30" t="n"/>
    </row>
    <row r="33" ht="15" customHeight="1" s="25">
      <c r="A33" s="37" t="inlineStr">
        <is>
          <t>250426.DWB01</t>
        </is>
      </c>
      <c r="B33" s="30" t="inlineStr">
        <is>
          <t>Summer Stewart - 3-5 Gleno Street Delungra NSW 2403</t>
        </is>
      </c>
      <c r="C33" s="33" t="inlineStr">
        <is>
          <t>23/05/26</t>
        </is>
      </c>
      <c r="D33" s="30" t="inlineStr">
        <is>
          <t>Denzel Winterbeard, Cian Jefferson, Max Bradfield, Hugo, Mark Isaac</t>
        </is>
      </c>
      <c r="E33" s="30" t="inlineStr">
        <is>
          <t>Cian Jefferson, Hugo, Max Bradfield, Mark Isaac, Denzel Winterbeard</t>
        </is>
      </c>
      <c r="F33" s="33" t="inlineStr">
        <is>
          <t>Away</t>
        </is>
      </c>
      <c r="G33" s="31" t="n">
        <v>31267.25</v>
      </c>
      <c r="H33" s="31" t="n">
        <v>29040.7</v>
      </c>
      <c r="I33" s="31" t="n">
        <v>0</v>
      </c>
      <c r="J33" s="31" t="n">
        <v>-5624.98</v>
      </c>
      <c r="K33" s="31" t="n">
        <v>2904.07</v>
      </c>
      <c r="L33" s="31" t="n">
        <v>2904.05</v>
      </c>
      <c r="M33" s="31" t="n">
        <v>61.59</v>
      </c>
      <c r="N33" s="33" t="inlineStr">
        <is>
          <t>No</t>
        </is>
      </c>
      <c r="O33" s="30" t="n"/>
    </row>
    <row r="34" ht="15" customHeight="1" s="25">
      <c r="A34" s="37" t="inlineStr">
        <is>
          <t>230426.DWB01</t>
        </is>
      </c>
      <c r="B34" s="30" t="inlineStr">
        <is>
          <t>Vicki Davis - 36 Burnett Street Delungra NSW 2403</t>
        </is>
      </c>
      <c r="C34" s="33" t="inlineStr">
        <is>
          <t>23/05/26</t>
        </is>
      </c>
      <c r="D34" s="30" t="inlineStr">
        <is>
          <t>Cian Jefferson, Max Bradfield, Hugo, Denzel Winterbeard, Mark Isaac</t>
        </is>
      </c>
      <c r="E34" s="30" t="inlineStr">
        <is>
          <t>Hugo, Denzel Winterbeard, Cian Jefferson, Max Bradfield, Mark Isaac</t>
        </is>
      </c>
      <c r="F34" s="33" t="inlineStr">
        <is>
          <t>Away</t>
        </is>
      </c>
      <c r="G34" s="31" t="n">
        <v>22668</v>
      </c>
      <c r="H34" s="31" t="n">
        <v>17035.93</v>
      </c>
      <c r="I34" s="31" t="n">
        <v>-1332.18</v>
      </c>
      <c r="J34" s="31" t="n">
        <v>-3148.25</v>
      </c>
      <c r="K34" s="31" t="n">
        <v>1703.59</v>
      </c>
      <c r="L34" s="31" t="n">
        <v>1703.6</v>
      </c>
      <c r="M34" s="31" t="n">
        <v>-357.14</v>
      </c>
      <c r="N34" s="33" t="inlineStr">
        <is>
          <t>No</t>
        </is>
      </c>
      <c r="O34" s="30" t="n"/>
    </row>
    <row r="35" ht="15" customHeight="1" s="25">
      <c r="A35" s="37" t="inlineStr">
        <is>
          <t>250426.DWB01</t>
        </is>
      </c>
      <c r="B35" s="30" t="inlineStr">
        <is>
          <t>Summer Stewart - 1 Gleno Street Delungra NSW 2403</t>
        </is>
      </c>
      <c r="C35" s="33" t="inlineStr">
        <is>
          <t>23/05/26</t>
        </is>
      </c>
      <c r="D35" s="30" t="inlineStr">
        <is>
          <t>Cian Jefferson, Max Bradfield, Hugo, Denzel Winterbeard, Mark Isaac</t>
        </is>
      </c>
      <c r="E35" s="30" t="inlineStr">
        <is>
          <t>Denzel Winterbeard, Cian Jefferson, Max Bradfield, Hugo, Mark Isaac</t>
        </is>
      </c>
      <c r="F35" s="33" t="inlineStr">
        <is>
          <t>Away</t>
        </is>
      </c>
      <c r="G35" s="31" t="n">
        <v>37882.25</v>
      </c>
      <c r="H35" s="31" t="n">
        <v>29963.05</v>
      </c>
      <c r="I35" s="31" t="n">
        <v>922.36</v>
      </c>
      <c r="J35" s="31" t="n">
        <v>-5624.99</v>
      </c>
      <c r="K35" s="31" t="n">
        <v>2996.31</v>
      </c>
      <c r="L35" s="31" t="n">
        <v>2996.3</v>
      </c>
      <c r="M35" s="31" t="n">
        <v>-447.53</v>
      </c>
      <c r="N35" s="33" t="inlineStr">
        <is>
          <t>No</t>
        </is>
      </c>
      <c r="O35" s="30" t="n"/>
    </row>
    <row r="36" ht="15" customHeight="1" s="25">
      <c r="A36" s="37" t="inlineStr">
        <is>
          <t>230426.JS01</t>
        </is>
      </c>
      <c r="B36" s="30" t="inlineStr">
        <is>
          <t>Felicity Menchin - 28 Inverell Street Delungra NSW 2403</t>
        </is>
      </c>
      <c r="C36" s="33" t="inlineStr">
        <is>
          <t>22/05/26</t>
        </is>
      </c>
      <c r="D36" s="30" t="inlineStr">
        <is>
          <t>Denzel Winterbeard, Cian Jefferson, Max Bradfield, Hugo, Mark Isaac</t>
        </is>
      </c>
      <c r="E36" s="30" t="inlineStr">
        <is>
          <t>Denzel Winterbeard, Max Bradfield, Hugo, Cian Jefferson, Mark Isaac</t>
        </is>
      </c>
      <c r="F36" s="33" t="inlineStr">
        <is>
          <t>Away</t>
        </is>
      </c>
      <c r="G36" s="31" t="n">
        <v>35548</v>
      </c>
      <c r="H36" s="31" t="n">
        <v>27179.55</v>
      </c>
      <c r="I36" s="31" t="n">
        <v>-949.8</v>
      </c>
      <c r="J36" s="31" t="n">
        <v>-5225.2</v>
      </c>
      <c r="K36" s="31" t="n">
        <v>2717.96</v>
      </c>
      <c r="L36" s="31" t="n">
        <v>2717.95</v>
      </c>
      <c r="M36" s="31" t="n">
        <v>-513.6799999999999</v>
      </c>
      <c r="N36" s="33" t="inlineStr">
        <is>
          <t>No</t>
        </is>
      </c>
      <c r="O36" s="30" t="n"/>
    </row>
    <row r="37" ht="15" customHeight="1" s="25">
      <c r="A37" s="37" t="inlineStr">
        <is>
          <t>260426.DWB02</t>
        </is>
      </c>
      <c r="B37" s="30" t="inlineStr">
        <is>
          <t>Peter Hancock - 105 High Street Warialda NSW 2402</t>
        </is>
      </c>
      <c r="C37" s="33" t="inlineStr">
        <is>
          <t>21/05/26</t>
        </is>
      </c>
      <c r="D37" s="30" t="inlineStr">
        <is>
          <t>Cian Jefferson, Denzel Winterbeard, Max Bradfield, Hugo, Mark Isaac</t>
        </is>
      </c>
      <c r="E37" s="30" t="inlineStr">
        <is>
          <t>Denzel Winterbeard, Cian Jefferson, Max Bradfield, Hugo, Mark Isaac</t>
        </is>
      </c>
      <c r="F37" s="33" t="inlineStr">
        <is>
          <t>Away</t>
        </is>
      </c>
      <c r="G37" s="31" t="n">
        <v>22630</v>
      </c>
      <c r="H37" s="31" t="n">
        <v>21195.27</v>
      </c>
      <c r="I37" s="31" t="n">
        <v>1077.09</v>
      </c>
      <c r="J37" s="31" t="n">
        <v>0</v>
      </c>
      <c r="K37" s="31" t="n">
        <v>2119.53</v>
      </c>
      <c r="L37" s="31" t="n">
        <v>2119.55</v>
      </c>
      <c r="M37" s="31" t="n">
        <v>62.26</v>
      </c>
      <c r="N37" s="33" t="inlineStr">
        <is>
          <t>No</t>
        </is>
      </c>
      <c r="O37" s="30" t="n"/>
    </row>
    <row r="38" ht="15" customHeight="1" s="25">
      <c r="A38" s="37" t="inlineStr">
        <is>
          <t>040526.DWB03</t>
        </is>
      </c>
      <c r="B38" s="30" t="inlineStr">
        <is>
          <t>Richard Gray - 10 Cross Street  Warialda NSW 2402</t>
        </is>
      </c>
      <c r="C38" s="33" t="inlineStr">
        <is>
          <t>21/05/26</t>
        </is>
      </c>
      <c r="D38" s="30" t="inlineStr">
        <is>
          <t>Hugo, Max Bradfield, Cian Jefferson, Mark Isaac, Denzel Winterbeard</t>
        </is>
      </c>
      <c r="E38" s="30" t="inlineStr">
        <is>
          <t>Denzel Winterbeard, Cian Jefferson, Max Bradfield, Hugo, Mark Isaac</t>
        </is>
      </c>
      <c r="F38" s="33" t="inlineStr">
        <is>
          <t>Away</t>
        </is>
      </c>
      <c r="G38" s="31" t="n">
        <v>24667</v>
      </c>
      <c r="H38" s="31" t="n">
        <v>21951.09</v>
      </c>
      <c r="I38" s="31" t="n">
        <v>-138.91</v>
      </c>
      <c r="J38" s="31" t="n">
        <v>0</v>
      </c>
      <c r="K38" s="31" t="n">
        <v>2195.11</v>
      </c>
      <c r="L38" s="31" t="n">
        <v>2195.1</v>
      </c>
      <c r="M38" s="31" t="n">
        <v>-47.34</v>
      </c>
      <c r="N38" s="33" t="inlineStr">
        <is>
          <t>No</t>
        </is>
      </c>
      <c r="O38" s="30" t="n"/>
    </row>
    <row r="39" ht="15" customHeight="1" s="25">
      <c r="A39" s="37" t="inlineStr">
        <is>
          <t>210426.DWB02</t>
        </is>
      </c>
      <c r="B39" s="30" t="inlineStr">
        <is>
          <t>Serena Kash - 23 Crane Street Warialda NSW 2402</t>
        </is>
      </c>
      <c r="C39" s="33" t="inlineStr">
        <is>
          <t>20/05/26</t>
        </is>
      </c>
      <c r="D39" s="30" t="inlineStr">
        <is>
          <t>Denzel Winterbeard, Cian Jefferson, Max Bradfield, Hugo, Mark Isaac</t>
        </is>
      </c>
      <c r="E39" s="30" t="inlineStr">
        <is>
          <t>Denzel Winterbeard, Cian Jefferson, Max Bradfield, Mark Isaac, Hugo</t>
        </is>
      </c>
      <c r="F39" s="33" t="inlineStr">
        <is>
          <t>Away</t>
        </is>
      </c>
      <c r="G39" s="31" t="n">
        <v>36086</v>
      </c>
      <c r="H39" s="31" t="n">
        <v>31393.27</v>
      </c>
      <c r="I39" s="31" t="n">
        <v>566</v>
      </c>
      <c r="J39" s="31" t="n">
        <v>0</v>
      </c>
      <c r="K39" s="31" t="n">
        <v>3139.33</v>
      </c>
      <c r="L39" s="31" t="n">
        <v>3139.35</v>
      </c>
      <c r="M39" s="31" t="n">
        <v>-141.22</v>
      </c>
      <c r="N39" s="33" t="inlineStr">
        <is>
          <t>No</t>
        </is>
      </c>
      <c r="O39" s="30" t="n"/>
    </row>
    <row r="40" ht="15" customHeight="1" s="25">
      <c r="A40" s="37" t="inlineStr">
        <is>
          <t>SSA034</t>
        </is>
      </c>
      <c r="B40" s="30" t="inlineStr">
        <is>
          <t>Amy Wong - 10 O’Connor Street Eastlakes NSW 2018</t>
        </is>
      </c>
      <c r="C40" s="33" t="inlineStr">
        <is>
          <t>19/05/26</t>
        </is>
      </c>
      <c r="D40" s="30" t="inlineStr">
        <is>
          <t>Denzel Winterbeard</t>
        </is>
      </c>
      <c r="E40" s="30" t="inlineStr">
        <is>
          <t>Denzel Winterbeard</t>
        </is>
      </c>
      <c r="F40" s="33" t="inlineStr">
        <is>
          <t>Home</t>
        </is>
      </c>
      <c r="G40" s="31" t="n">
        <v>33761.6</v>
      </c>
      <c r="H40" s="31" t="n">
        <v>27708.72</v>
      </c>
      <c r="I40" s="31" t="n">
        <v>455.09</v>
      </c>
      <c r="J40" s="31" t="n">
        <v>0</v>
      </c>
      <c r="K40" s="31" t="n">
        <v>2770.87</v>
      </c>
      <c r="L40" s="31" t="n">
        <v>2770.87</v>
      </c>
      <c r="M40" s="31" t="n">
        <v>-298.37</v>
      </c>
      <c r="N40" s="33" t="inlineStr">
        <is>
          <t>No</t>
        </is>
      </c>
      <c r="O40" s="30" t="n"/>
    </row>
    <row r="41" ht="15" customHeight="1" s="25">
      <c r="A41" s="37" t="inlineStr">
        <is>
          <t>SSA019</t>
        </is>
      </c>
      <c r="B41" s="30" t="inlineStr">
        <is>
          <t>Rob Matta - 109 Brighton Street Croydon Park NSW 2133</t>
        </is>
      </c>
      <c r="C41" s="33" t="inlineStr">
        <is>
          <t>08/05/26</t>
        </is>
      </c>
      <c r="D41" s="30" t="inlineStr">
        <is>
          <t>Beau Jolly</t>
        </is>
      </c>
      <c r="E41" s="30" t="inlineStr">
        <is>
          <t>Joe</t>
        </is>
      </c>
      <c r="F41" s="33" t="inlineStr">
        <is>
          <t>Home</t>
        </is>
      </c>
      <c r="G41" s="31" t="n">
        <v>27025.4</v>
      </c>
      <c r="H41" s="31" t="n">
        <v>20744.36</v>
      </c>
      <c r="I41" s="31" t="n">
        <v>-4801.09</v>
      </c>
      <c r="J41" s="31" t="n">
        <v>0</v>
      </c>
      <c r="K41" s="31" t="n">
        <v>2074.44</v>
      </c>
      <c r="L41" s="31" t="n">
        <v>2074.44</v>
      </c>
      <c r="M41" s="31" t="n">
        <v>-382.41</v>
      </c>
      <c r="N41" s="33" t="inlineStr">
        <is>
          <t>No</t>
        </is>
      </c>
      <c r="O41" s="30" t="n"/>
    </row>
    <row r="42" ht="15" customHeight="1" s="25">
      <c r="A42" s="37" t="inlineStr">
        <is>
          <t>SSA023</t>
        </is>
      </c>
      <c r="B42" s="30" t="inlineStr">
        <is>
          <t>Henri Lago - 67 Amhurst Street Slade Point QLD 4740</t>
        </is>
      </c>
      <c r="C42" s="33" t="inlineStr">
        <is>
          <t>08/05/26</t>
        </is>
      </c>
      <c r="D42" s="30" t="inlineStr">
        <is>
          <t>Joe</t>
        </is>
      </c>
      <c r="E42" s="30" t="inlineStr">
        <is>
          <t>Joe</t>
        </is>
      </c>
      <c r="F42" s="33" t="inlineStr">
        <is>
          <t>Home</t>
        </is>
      </c>
      <c r="G42" s="31" t="n">
        <v>26209.62</v>
      </c>
      <c r="H42" s="31" t="n">
        <v>23880</v>
      </c>
      <c r="I42" s="31" t="n">
        <v>53.07</v>
      </c>
      <c r="J42" s="31" t="n">
        <v>0</v>
      </c>
      <c r="K42" s="31" t="n">
        <v>2388</v>
      </c>
      <c r="L42" s="31" t="n">
        <v>2388</v>
      </c>
      <c r="M42" s="31" t="n">
        <v>5.31</v>
      </c>
      <c r="N42" s="33" t="inlineStr">
        <is>
          <t>No</t>
        </is>
      </c>
      <c r="O42" s="30" t="n"/>
    </row>
    <row r="43" ht="15" customHeight="1" s="25">
      <c r="A43" s="37" t="inlineStr">
        <is>
          <t>SSA030</t>
        </is>
      </c>
      <c r="B43" s="30" t="inlineStr">
        <is>
          <t>Allen Paskins - 11 Heathwood Court Hampden QLD 4741</t>
        </is>
      </c>
      <c r="C43" s="33" t="inlineStr">
        <is>
          <t>08/05/26</t>
        </is>
      </c>
      <c r="D43" s="30" t="inlineStr">
        <is>
          <t>Joe, Denzel Winterbeard, Cian Jefferson, Fran, Max Bradfield</t>
        </is>
      </c>
      <c r="E43" s="30" t="inlineStr">
        <is>
          <t>Joe, Simon, Denzel Winterbeard, Cian Jefferson, Max Bradfield</t>
        </is>
      </c>
      <c r="F43" s="33" t="inlineStr">
        <is>
          <t>Away</t>
        </is>
      </c>
      <c r="G43" s="31" t="n">
        <v>19261.6</v>
      </c>
      <c r="H43" s="31" t="n">
        <v>26809.55</v>
      </c>
      <c r="I43" s="31" t="n">
        <v>1548.55</v>
      </c>
      <c r="J43" s="31" t="n">
        <v>0</v>
      </c>
      <c r="K43" s="31" t="n">
        <v>2680.96</v>
      </c>
      <c r="L43" s="31" t="n">
        <v>2680.98</v>
      </c>
      <c r="M43" s="31" t="n">
        <v>929.91</v>
      </c>
      <c r="N43" s="33" t="inlineStr">
        <is>
          <t>No</t>
        </is>
      </c>
      <c r="O43" s="30" t="n"/>
    </row>
    <row r="44" ht="15" customHeight="1" s="25">
      <c r="A44" s="37" t="inlineStr">
        <is>
          <t>SSA031</t>
        </is>
      </c>
      <c r="B44" s="30" t="inlineStr">
        <is>
          <t>Richard Campbell - 100 Dunwold-Cattle Creek Road Gargett QLD 4741</t>
        </is>
      </c>
      <c r="C44" s="33" t="inlineStr">
        <is>
          <t>07/05/26</t>
        </is>
      </c>
      <c r="D44" s="30" t="inlineStr">
        <is>
          <t>Denzel Winterbeard</t>
        </is>
      </c>
      <c r="E44" s="30" t="inlineStr">
        <is>
          <t>Joe, Denzel Winterbeard</t>
        </is>
      </c>
      <c r="F44" s="33" t="inlineStr">
        <is>
          <t>Home</t>
        </is>
      </c>
      <c r="G44" s="31" t="n">
        <v>53448.08</v>
      </c>
      <c r="H44" s="31" t="n">
        <v>46590.14</v>
      </c>
      <c r="I44" s="31" t="n">
        <v>-5689.37</v>
      </c>
      <c r="J44" s="31" t="n">
        <v>0</v>
      </c>
      <c r="K44" s="31" t="n">
        <v>4659.01</v>
      </c>
      <c r="L44" s="31" t="n">
        <v>4659.01</v>
      </c>
      <c r="M44" s="31" t="n">
        <v>-199.91</v>
      </c>
      <c r="N44" s="33" t="inlineStr">
        <is>
          <t>No</t>
        </is>
      </c>
      <c r="O44" s="30" t="n"/>
    </row>
    <row r="45" ht="15" customHeight="1" s="25">
      <c r="A45" s="37" t="inlineStr">
        <is>
          <t>SSA052</t>
        </is>
      </c>
      <c r="B45" s="30" t="inlineStr">
        <is>
          <t>Anne Moore - 93 Stephen Street Warialda NSW 2402</t>
        </is>
      </c>
      <c r="C45" s="33" t="inlineStr">
        <is>
          <t>25/04/26</t>
        </is>
      </c>
      <c r="D45" s="30" t="inlineStr">
        <is>
          <t>Denzel Winterbeard, Harley, Max Bradfield, Cian Jefferson</t>
        </is>
      </c>
      <c r="E45" s="30" t="inlineStr">
        <is>
          <t>Denzel Winterbeard, Max Bradfield, Harley, Cian Jefferson</t>
        </is>
      </c>
      <c r="F45" s="33" t="inlineStr">
        <is>
          <t>Away</t>
        </is>
      </c>
      <c r="G45" s="31" t="n">
        <v>29199.2</v>
      </c>
      <c r="H45" s="31" t="n">
        <v>25934.73</v>
      </c>
      <c r="I45" s="31" t="n">
        <v>-610</v>
      </c>
      <c r="J45" s="31" t="n">
        <v>0</v>
      </c>
      <c r="K45" s="31" t="n">
        <v>2593.47</v>
      </c>
      <c r="L45" s="31" t="n">
        <v>2593.48</v>
      </c>
      <c r="M45" s="31" t="n">
        <v>-61</v>
      </c>
      <c r="N45" s="33" t="inlineStr">
        <is>
          <t>No</t>
        </is>
      </c>
      <c r="O45" s="30" t="n"/>
    </row>
    <row r="46" ht="15" customHeight="1" s="25">
      <c r="A46" s="37" t="inlineStr">
        <is>
          <t>SSA055</t>
        </is>
      </c>
      <c r="B46" s="30" t="inlineStr">
        <is>
          <t>Rosemary Arnold - 38 Holden Street Warialda NSW 2402</t>
        </is>
      </c>
      <c r="C46" s="33" t="inlineStr">
        <is>
          <t>25/04/26</t>
        </is>
      </c>
      <c r="D46" s="30" t="inlineStr">
        <is>
          <t>Denzel Winterbeard, Harley, Max Bradfield, Cian Jefferson</t>
        </is>
      </c>
      <c r="E46" s="30" t="inlineStr">
        <is>
          <t>Denzel Winterbeard, Max Bradfield, Harley, Cian Jefferson</t>
        </is>
      </c>
      <c r="F46" s="33" t="inlineStr">
        <is>
          <t>Away</t>
        </is>
      </c>
      <c r="G46" s="31" t="n">
        <v>23526.6</v>
      </c>
      <c r="H46" s="31" t="n">
        <v>19873.48</v>
      </c>
      <c r="I46" s="31" t="n">
        <v>993.64</v>
      </c>
      <c r="J46" s="31" t="n">
        <v>-1528.34</v>
      </c>
      <c r="K46" s="31" t="n">
        <v>1987.35</v>
      </c>
      <c r="L46" s="31" t="n">
        <v>1987.36</v>
      </c>
      <c r="M46" s="31" t="n">
        <v>-151.43</v>
      </c>
      <c r="N46" s="33" t="inlineStr">
        <is>
          <t>No</t>
        </is>
      </c>
      <c r="O46" s="30" t="n"/>
    </row>
    <row r="47" ht="15" customHeight="1" s="25">
      <c r="A47" s="37" t="inlineStr">
        <is>
          <t>200426.DWB01</t>
        </is>
      </c>
      <c r="B47" s="30" t="inlineStr">
        <is>
          <t>Dianne Burke - 91 Cunningham Street Bingara NSW 2404</t>
        </is>
      </c>
      <c r="C47" s="33" t="inlineStr">
        <is>
          <t>24/04/26</t>
        </is>
      </c>
      <c r="D47" s="30" t="inlineStr">
        <is>
          <t>Denzel Winterbeard, Max Bradfield, Cian Jefferson, Hugo</t>
        </is>
      </c>
      <c r="E47" s="30" t="inlineStr">
        <is>
          <t>Denzel Winterbeard, Cian Jefferson, Max Bradfield, Hugo</t>
        </is>
      </c>
      <c r="F47" s="33" t="inlineStr">
        <is>
          <t>Away</t>
        </is>
      </c>
      <c r="G47" s="31" t="n">
        <v>24250</v>
      </c>
      <c r="H47" s="31" t="n">
        <v>20990.45</v>
      </c>
      <c r="I47" s="31" t="n">
        <v>-761.36</v>
      </c>
      <c r="J47" s="31" t="n">
        <v>0</v>
      </c>
      <c r="K47" s="31" t="n">
        <v>2099.05</v>
      </c>
      <c r="L47" s="31" t="n">
        <v>2099.04</v>
      </c>
      <c r="M47" s="31" t="n">
        <v>-105.5</v>
      </c>
      <c r="N47" s="33" t="inlineStr">
        <is>
          <t>No</t>
        </is>
      </c>
      <c r="O47" s="30" t="n"/>
    </row>
    <row r="48" ht="15" customHeight="1" s="25">
      <c r="A48" s="37" t="inlineStr">
        <is>
          <t>SSA053</t>
        </is>
      </c>
      <c r="B48" s="30" t="inlineStr">
        <is>
          <t>Annette Towers - 2 Finch Street Bingara NSW 2404</t>
        </is>
      </c>
      <c r="C48" s="33" t="inlineStr">
        <is>
          <t>24/04/26</t>
        </is>
      </c>
      <c r="D48" s="30" t="inlineStr">
        <is>
          <t>Denzel Winterbeard, Harley, Max Bradfield, Cian Jefferson</t>
        </is>
      </c>
      <c r="E48" s="30" t="inlineStr">
        <is>
          <t>Denzel Winterbeard, Max Bradfield, Harley, Cian Jefferson</t>
        </is>
      </c>
      <c r="F48" s="33" t="inlineStr">
        <is>
          <t>Away</t>
        </is>
      </c>
      <c r="G48" s="31" t="n">
        <v>38748.2</v>
      </c>
      <c r="H48" s="31" t="n">
        <v>30285.48</v>
      </c>
      <c r="I48" s="31" t="n">
        <v>-3412.73</v>
      </c>
      <c r="J48" s="31" t="n">
        <v>-3506.34</v>
      </c>
      <c r="K48" s="31" t="n">
        <v>3028.55</v>
      </c>
      <c r="L48" s="31" t="n">
        <v>3028.56</v>
      </c>
      <c r="M48" s="31" t="n">
        <v>-494.01</v>
      </c>
      <c r="N48" s="33" t="inlineStr">
        <is>
          <t>No</t>
        </is>
      </c>
      <c r="O48" s="30" t="n"/>
    </row>
    <row r="49" ht="15" customHeight="1" s="25">
      <c r="A49" s="37" t="inlineStr">
        <is>
          <t>SSA054</t>
        </is>
      </c>
      <c r="B49" s="30" t="inlineStr">
        <is>
          <t>Adrian Dick - 36 Keera Street  Bingara NSW 2404</t>
        </is>
      </c>
      <c r="C49" s="33" t="inlineStr">
        <is>
          <t>23/04/26</t>
        </is>
      </c>
      <c r="D49" s="30" t="inlineStr">
        <is>
          <t>Denzel Winterbeard, Harley, Max Bradfield, Cian Jefferson</t>
        </is>
      </c>
      <c r="E49" s="30" t="inlineStr">
        <is>
          <t>Denzel Winterbeard, Max Bradfield, Harley, Cian Jefferson</t>
        </is>
      </c>
      <c r="F49" s="33" t="inlineStr">
        <is>
          <t>Away</t>
        </is>
      </c>
      <c r="G49" s="31" t="n">
        <v>14851.2</v>
      </c>
      <c r="H49" s="31" t="n">
        <v>14424.91</v>
      </c>
      <c r="I49" s="31" t="n">
        <v>1120.37</v>
      </c>
      <c r="J49" s="31" t="n">
        <v>0</v>
      </c>
      <c r="K49" s="31" t="n">
        <v>1442.49</v>
      </c>
      <c r="L49" s="31" t="n">
        <v>1442.48</v>
      </c>
      <c r="M49" s="31" t="n">
        <v>92.38</v>
      </c>
      <c r="N49" s="33" t="inlineStr">
        <is>
          <t>No</t>
        </is>
      </c>
      <c r="O49" s="30" t="n"/>
    </row>
    <row r="50" ht="15" customHeight="1" s="25">
      <c r="A50" s="37" t="inlineStr">
        <is>
          <t>SSA051</t>
        </is>
      </c>
      <c r="B50" s="30" t="inlineStr">
        <is>
          <t>Andy Callaway - 69 Maitland Street Bingara NSW 2404</t>
        </is>
      </c>
      <c r="C50" s="33" t="inlineStr">
        <is>
          <t>23/04/26</t>
        </is>
      </c>
      <c r="D50" s="30" t="inlineStr">
        <is>
          <t>Denzel Winterbeard, Harley, Max Bradfield, Cian Jefferson</t>
        </is>
      </c>
      <c r="E50" s="30" t="inlineStr">
        <is>
          <t>Denzel Winterbeard, Max Bradfield, Harley, Cian Jefferson</t>
        </is>
      </c>
      <c r="F50" s="33" t="inlineStr">
        <is>
          <t>Away</t>
        </is>
      </c>
      <c r="G50" s="31" t="n">
        <v>32097.6</v>
      </c>
      <c r="H50" s="31" t="n">
        <v>30780.91</v>
      </c>
      <c r="I50" s="31" t="n">
        <v>71.81999999999999</v>
      </c>
      <c r="J50" s="31" t="n">
        <v>0</v>
      </c>
      <c r="K50" s="31" t="n">
        <v>3078.09</v>
      </c>
      <c r="L50" s="31" t="n">
        <v>3078.08</v>
      </c>
      <c r="M50" s="31" t="n">
        <v>160.13</v>
      </c>
      <c r="N50" s="33" t="inlineStr">
        <is>
          <t>No</t>
        </is>
      </c>
      <c r="O50" s="30" t="n"/>
    </row>
    <row r="51" ht="15" customHeight="1" s="25">
      <c r="A51" s="39" t="inlineStr">
        <is>
          <t>SSA035</t>
        </is>
      </c>
      <c r="B51" s="40" t="inlineStr">
        <is>
          <t>John Tooler - 8 Tranquil Place Alstonville NSW 2477</t>
        </is>
      </c>
      <c r="C51" s="41" t="inlineStr">
        <is>
          <t>15/04/26</t>
        </is>
      </c>
      <c r="D51" s="40" t="inlineStr">
        <is>
          <t>—</t>
        </is>
      </c>
      <c r="E51" s="40" t="inlineStr">
        <is>
          <t>Joe</t>
        </is>
      </c>
      <c r="F51" s="41" t="inlineStr">
        <is>
          <t>Home</t>
        </is>
      </c>
      <c r="G51" s="43" t="n">
        <v>31049.2</v>
      </c>
      <c r="H51" s="43" t="n">
        <v>27931.64</v>
      </c>
      <c r="I51" s="43" t="n">
        <v>-704.72</v>
      </c>
      <c r="J51" s="43" t="n">
        <v>0</v>
      </c>
      <c r="K51" s="43" t="n">
        <v>1396.58</v>
      </c>
      <c r="L51" s="43" t="n">
        <v>698.29</v>
      </c>
      <c r="M51" s="43" t="n">
        <v>-1426.07</v>
      </c>
      <c r="N51" s="41" t="inlineStr">
        <is>
          <t>No</t>
        </is>
      </c>
      <c r="O51" s="40" t="inlineStr">
        <is>
          <t>Customer referral — no lead gen half ($698.29)</t>
        </is>
      </c>
    </row>
    <row r="52" ht="15" customHeight="1" s="25">
      <c r="A52" s="37" t="inlineStr">
        <is>
          <t>SSA026</t>
        </is>
      </c>
      <c r="B52" s="30" t="inlineStr">
        <is>
          <t>Gibb French - 34 Alan Street Marian QLD 4753</t>
        </is>
      </c>
      <c r="C52" s="33" t="inlineStr">
        <is>
          <t>12/04/26</t>
        </is>
      </c>
      <c r="D52" s="30" t="inlineStr">
        <is>
          <t>Joe, Denzel Winterbeard, Cian Jefferson, Fran, Max Bradfield</t>
        </is>
      </c>
      <c r="E52" s="30" t="inlineStr">
        <is>
          <t>Joe, Simon, Denzel Winterbeard, Cian Jefferson, Max Bradfield</t>
        </is>
      </c>
      <c r="F52" s="33" t="inlineStr">
        <is>
          <t>Away</t>
        </is>
      </c>
      <c r="G52" s="31" t="n">
        <v>48152.8</v>
      </c>
      <c r="H52" s="31" t="n">
        <v>36557.24</v>
      </c>
      <c r="I52" s="31" t="n">
        <v>-375.09</v>
      </c>
      <c r="J52" s="31" t="n">
        <v>-6842.94</v>
      </c>
      <c r="K52" s="31" t="n">
        <v>3655.72</v>
      </c>
      <c r="L52" s="31" t="n">
        <v>3655.74</v>
      </c>
      <c r="M52" s="31" t="n">
        <v>-721.8099999999999</v>
      </c>
      <c r="N52" s="33" t="inlineStr">
        <is>
          <t>No</t>
        </is>
      </c>
      <c r="O52" s="30" t="n"/>
    </row>
    <row r="53" ht="15" customHeight="1" s="25">
      <c r="A53" s="37" t="inlineStr">
        <is>
          <t>SSA028</t>
        </is>
      </c>
      <c r="B53" s="30" t="inlineStr">
        <is>
          <t>Bernie Shields - 9 Coral Drive Blacks Beach QLD 4740</t>
        </is>
      </c>
      <c r="C53" s="33" t="inlineStr">
        <is>
          <t>11/04/26</t>
        </is>
      </c>
      <c r="D53" s="30" t="inlineStr">
        <is>
          <t>Joe, Denzel Winterbeard, Cian Jefferson, Fran, Max Bradfield</t>
        </is>
      </c>
      <c r="E53" s="30" t="inlineStr">
        <is>
          <t>Joe, Simon, Denzel Winterbeard, Cian Jefferson, Max Bradfield</t>
        </is>
      </c>
      <c r="F53" s="33" t="inlineStr">
        <is>
          <t>Away</t>
        </is>
      </c>
      <c r="G53" s="31" t="n">
        <v>30394.4</v>
      </c>
      <c r="H53" s="31" t="n">
        <v>22983.38</v>
      </c>
      <c r="I53" s="31" t="n">
        <v>-3362.18</v>
      </c>
      <c r="J53" s="31" t="n">
        <v>-3790.81</v>
      </c>
      <c r="K53" s="31" t="n">
        <v>2298.34</v>
      </c>
      <c r="L53" s="31" t="n">
        <v>2298.36</v>
      </c>
      <c r="M53" s="31" t="n">
        <v>-464.79</v>
      </c>
      <c r="N53" s="33" t="inlineStr">
        <is>
          <t>No</t>
        </is>
      </c>
      <c r="O53" s="30" t="n"/>
    </row>
    <row r="54" ht="15" customHeight="1" s="25">
      <c r="A54" s="37" t="inlineStr">
        <is>
          <t>SSA024</t>
        </is>
      </c>
      <c r="B54" s="30" t="inlineStr">
        <is>
          <t>Dean Boland - 16 Blackmur Street Marian QLD 4753</t>
        </is>
      </c>
      <c r="C54" s="33" t="inlineStr">
        <is>
          <t>11/04/26</t>
        </is>
      </c>
      <c r="D54" s="30" t="inlineStr">
        <is>
          <t>Joe, Denzel Winterbeard, Cian Jefferson, Fran, Max Bradfield</t>
        </is>
      </c>
      <c r="E54" s="30" t="inlineStr">
        <is>
          <t>Joe, Simon, Denzel Winterbeard, Cian Jefferson, Max Bradfield</t>
        </is>
      </c>
      <c r="F54" s="33" t="inlineStr">
        <is>
          <t>Away</t>
        </is>
      </c>
      <c r="G54" s="31" t="n">
        <v>30114</v>
      </c>
      <c r="H54" s="31" t="n">
        <v>23598.95</v>
      </c>
      <c r="I54" s="31" t="n">
        <v>-1460.73</v>
      </c>
      <c r="J54" s="31" t="n">
        <v>-3466.87</v>
      </c>
      <c r="K54" s="31" t="n">
        <v>2359.9</v>
      </c>
      <c r="L54" s="31" t="n">
        <v>2359.92</v>
      </c>
      <c r="M54" s="31" t="n">
        <v>-377.74</v>
      </c>
      <c r="N54" s="33" t="inlineStr">
        <is>
          <t>No</t>
        </is>
      </c>
      <c r="O54" s="30" t="n"/>
    </row>
    <row r="55" ht="15" customHeight="1" s="25">
      <c r="A55" s="37" t="inlineStr">
        <is>
          <t>SSA025</t>
        </is>
      </c>
      <c r="B55" s="30" t="inlineStr">
        <is>
          <t>Peter Schaper - 22 Elizabeth Street Mirani QLD 4754</t>
        </is>
      </c>
      <c r="C55" s="33" t="inlineStr">
        <is>
          <t>10/04/26</t>
        </is>
      </c>
      <c r="D55" s="30" t="inlineStr">
        <is>
          <t>Joe</t>
        </is>
      </c>
      <c r="E55" s="30" t="inlineStr">
        <is>
          <t>Joe</t>
        </is>
      </c>
      <c r="F55" s="33" t="inlineStr">
        <is>
          <t>Home</t>
        </is>
      </c>
      <c r="G55" s="31" t="n">
        <v>29890</v>
      </c>
      <c r="H55" s="31" t="n">
        <v>21320.77</v>
      </c>
      <c r="I55" s="31" t="n">
        <v>2040.91</v>
      </c>
      <c r="J55" s="31" t="n">
        <v>-3496.51</v>
      </c>
      <c r="K55" s="31" t="n">
        <v>2132.08</v>
      </c>
      <c r="L55" s="31" t="n">
        <v>2132.08</v>
      </c>
      <c r="M55" s="31" t="n">
        <v>-585.1900000000001</v>
      </c>
      <c r="N55" s="33" t="inlineStr">
        <is>
          <t>No</t>
        </is>
      </c>
      <c r="O55" s="30" t="n"/>
    </row>
    <row r="56" ht="15" customHeight="1" s="25">
      <c r="A56" s="37" t="inlineStr">
        <is>
          <t>SSA027</t>
        </is>
      </c>
      <c r="B56" s="30" t="inlineStr">
        <is>
          <t>Vincent Reeves - 5 Lucy Court Mirani QLD 4754</t>
        </is>
      </c>
      <c r="C56" s="33" t="inlineStr">
        <is>
          <t>10/04/26</t>
        </is>
      </c>
      <c r="D56" s="30" t="inlineStr">
        <is>
          <t>Joe, Denzel Winterbeard, Cian Jefferson, Fran, Max Bradfield</t>
        </is>
      </c>
      <c r="E56" s="30" t="inlineStr">
        <is>
          <t>Joe, Simon, Denzel Winterbeard, Cian Jefferson, Max Bradfield</t>
        </is>
      </c>
      <c r="F56" s="33" t="inlineStr">
        <is>
          <t>Away</t>
        </is>
      </c>
      <c r="G56" s="31" t="n">
        <v>27098.8</v>
      </c>
      <c r="H56" s="31" t="n">
        <v>20725.29</v>
      </c>
      <c r="I56" s="31" t="n">
        <v>-899.8200000000001</v>
      </c>
      <c r="J56" s="31" t="n">
        <v>-2451.07</v>
      </c>
      <c r="K56" s="31" t="n">
        <v>2072.53</v>
      </c>
      <c r="L56" s="31" t="n">
        <v>2072.52</v>
      </c>
      <c r="M56" s="31" t="n">
        <v>-391</v>
      </c>
      <c r="N56" s="33" t="inlineStr">
        <is>
          <t>No</t>
        </is>
      </c>
      <c r="O56" s="30" t="n"/>
    </row>
    <row r="57" ht="15" customHeight="1" s="25">
      <c r="A57" s="39" t="inlineStr">
        <is>
          <t>SSA029</t>
        </is>
      </c>
      <c r="B57" s="40" t="inlineStr">
        <is>
          <t>Danielle Campbell - 11 Vesta Lane Ooralea QLD 4740</t>
        </is>
      </c>
      <c r="C57" s="41" t="inlineStr">
        <is>
          <t>08/04/26</t>
        </is>
      </c>
      <c r="D57" s="40" t="inlineStr">
        <is>
          <t>Dermot</t>
        </is>
      </c>
      <c r="E57" s="40" t="inlineStr">
        <is>
          <t>—</t>
        </is>
      </c>
      <c r="F57" s="41" t="inlineStr">
        <is>
          <t>Home</t>
        </is>
      </c>
      <c r="G57" s="43" t="n">
        <v>16511.6</v>
      </c>
      <c r="H57" s="43" t="n">
        <v>15042.73</v>
      </c>
      <c r="I57" s="43" t="n">
        <v>-5207.27</v>
      </c>
      <c r="J57" s="43" t="n">
        <v>0</v>
      </c>
      <c r="K57" s="43" t="n">
        <v>0</v>
      </c>
      <c r="L57" s="43" t="n">
        <v>0</v>
      </c>
      <c r="M57" s="43" t="n">
        <v>-1501.05</v>
      </c>
      <c r="N57" s="41" t="inlineStr">
        <is>
          <t>No</t>
        </is>
      </c>
      <c r="O57" s="40" t="inlineStr">
        <is>
          <t>Gated with no Commission Payable — suppressed to zero, paying nobody</t>
        </is>
      </c>
    </row>
    <row r="58" ht="15" customHeight="1" s="25">
      <c r="A58" s="37" t="inlineStr">
        <is>
          <t>SSA018</t>
        </is>
      </c>
      <c r="B58" s="30" t="inlineStr">
        <is>
          <t>Marion Priestly - 31 Adams Street Heddon Greta NSW 2321</t>
        </is>
      </c>
      <c r="C58" s="33" t="inlineStr">
        <is>
          <t>07/04/26</t>
        </is>
      </c>
      <c r="D58" s="30" t="inlineStr">
        <is>
          <t>Beau Jolly</t>
        </is>
      </c>
      <c r="E58" s="30" t="inlineStr">
        <is>
          <t>Beau Jolly</t>
        </is>
      </c>
      <c r="F58" s="33" t="inlineStr">
        <is>
          <t>Home</t>
        </is>
      </c>
      <c r="G58" s="31" t="n">
        <v>18139.6</v>
      </c>
      <c r="H58" s="31" t="n">
        <v>16631.82</v>
      </c>
      <c r="I58" s="31" t="n">
        <v>-636.36</v>
      </c>
      <c r="J58" s="31" t="n">
        <v>0</v>
      </c>
      <c r="K58" s="31" t="n">
        <v>1663.18</v>
      </c>
      <c r="L58" s="31" t="n">
        <v>1663.18</v>
      </c>
      <c r="M58" s="31" t="n">
        <v>14.13</v>
      </c>
      <c r="N58" s="33" t="inlineStr">
        <is>
          <t>No</t>
        </is>
      </c>
      <c r="O58" s="30" t="n"/>
    </row>
    <row r="59" ht="15" customHeight="1" s="25">
      <c r="A59" s="37" t="inlineStr">
        <is>
          <t>SSA022</t>
        </is>
      </c>
      <c r="B59" s="30" t="inlineStr">
        <is>
          <t>Murray Heath - Unit 5 - 11 Prospect Street Mackay QLD 4740</t>
        </is>
      </c>
      <c r="C59" s="33" t="inlineStr">
        <is>
          <t>30/03/26</t>
        </is>
      </c>
      <c r="D59" s="30" t="inlineStr">
        <is>
          <t>Holly</t>
        </is>
      </c>
      <c r="E59" s="30" t="inlineStr">
        <is>
          <t>Joe</t>
        </is>
      </c>
      <c r="F59" s="33" t="inlineStr">
        <is>
          <t>Home</t>
        </is>
      </c>
      <c r="G59" s="31" t="n">
        <v>19415.1</v>
      </c>
      <c r="H59" s="31" t="n">
        <v>17344.55</v>
      </c>
      <c r="I59" s="31" t="n">
        <v>-500</v>
      </c>
      <c r="J59" s="31" t="n">
        <v>0</v>
      </c>
      <c r="K59" s="31" t="n">
        <v>1734.46</v>
      </c>
      <c r="L59" s="31" t="n">
        <v>1734.46</v>
      </c>
      <c r="M59" s="31" t="n">
        <v>-30.55</v>
      </c>
      <c r="N59" s="33" t="inlineStr">
        <is>
          <t>No</t>
        </is>
      </c>
      <c r="O59" s="30" t="n"/>
    </row>
    <row r="60" ht="15" customHeight="1" s="25">
      <c r="A60" s="37" t="inlineStr">
        <is>
          <t>SSA049</t>
        </is>
      </c>
      <c r="B60" s="30" t="inlineStr">
        <is>
          <t>1 Bob &amp; Lawson Muir - 1516 Delungra Road Bingara NSW 2404</t>
        </is>
      </c>
      <c r="C60" s="33" t="inlineStr">
        <is>
          <t>27/03/26</t>
        </is>
      </c>
      <c r="D60" s="30" t="inlineStr">
        <is>
          <t>Joe</t>
        </is>
      </c>
      <c r="E60" s="30" t="inlineStr">
        <is>
          <t>Joe</t>
        </is>
      </c>
      <c r="F60" s="33" t="inlineStr">
        <is>
          <t>Home</t>
        </is>
      </c>
      <c r="G60" s="31" t="n">
        <v>57409.2</v>
      </c>
      <c r="H60" s="31" t="n">
        <v>44180.09</v>
      </c>
      <c r="I60" s="31" t="n">
        <v>3168.36</v>
      </c>
      <c r="J60" s="31" t="n">
        <v>-9859.18</v>
      </c>
      <c r="K60" s="31" t="n">
        <v>4418.01</v>
      </c>
      <c r="L60" s="31" t="n">
        <v>4418.01</v>
      </c>
      <c r="M60" s="31" t="n">
        <v>-801.01</v>
      </c>
      <c r="N60" s="33" t="inlineStr">
        <is>
          <t>No</t>
        </is>
      </c>
      <c r="O60" s="30" t="n"/>
    </row>
    <row r="61" ht="15" customHeight="1" s="25">
      <c r="A61" s="37" t="inlineStr">
        <is>
          <t>SSA050</t>
        </is>
      </c>
      <c r="B61" s="30" t="inlineStr">
        <is>
          <t>2 Bob &amp; Lawson Muir - 1787 Delubngra Road Bingara NSW 2404</t>
        </is>
      </c>
      <c r="C61" s="33" t="inlineStr">
        <is>
          <t>26/03/26</t>
        </is>
      </c>
      <c r="D61" s="30" t="inlineStr">
        <is>
          <t>Joe</t>
        </is>
      </c>
      <c r="E61" s="30" t="inlineStr">
        <is>
          <t>Joe</t>
        </is>
      </c>
      <c r="F61" s="33" t="inlineStr">
        <is>
          <t>Home</t>
        </is>
      </c>
      <c r="G61" s="31" t="n">
        <v>36436.2</v>
      </c>
      <c r="H61" s="31" t="n">
        <v>31313.45</v>
      </c>
      <c r="I61" s="31" t="n">
        <v>3526</v>
      </c>
      <c r="J61" s="31" t="n">
        <v>-5336.37</v>
      </c>
      <c r="K61" s="31" t="n">
        <v>3131.35</v>
      </c>
      <c r="L61" s="31" t="n">
        <v>3131.35</v>
      </c>
      <c r="M61" s="31" t="n">
        <v>-181.03</v>
      </c>
      <c r="N61" s="33" t="inlineStr">
        <is>
          <t>No</t>
        </is>
      </c>
      <c r="O61" s="30" t="n"/>
    </row>
    <row r="62" ht="15" customHeight="1" s="25">
      <c r="A62" s="37" t="inlineStr">
        <is>
          <t>SSA044</t>
        </is>
      </c>
      <c r="B62" s="30" t="inlineStr">
        <is>
          <t>Maria E Kelly - 2529 Pyramids Road Wyberba QLD 4382</t>
        </is>
      </c>
      <c r="C62" s="33" t="inlineStr">
        <is>
          <t>19/03/26</t>
        </is>
      </c>
      <c r="D62" s="30" t="inlineStr">
        <is>
          <t>Denzel Winterbeard, Cian Jefferson, Joe</t>
        </is>
      </c>
      <c r="E62" s="30" t="inlineStr">
        <is>
          <t>Joe, Denzel Winterbeard, Cian Jefferson</t>
        </is>
      </c>
      <c r="F62" s="33" t="inlineStr">
        <is>
          <t>Away</t>
        </is>
      </c>
      <c r="G62" s="31" t="n">
        <v>29420.2</v>
      </c>
      <c r="H62" s="31" t="n">
        <v>27080.82</v>
      </c>
      <c r="I62" s="31" t="n">
        <v>336.09</v>
      </c>
      <c r="J62" s="31" t="n">
        <v>0</v>
      </c>
      <c r="K62" s="31" t="n">
        <v>2708.08</v>
      </c>
      <c r="L62" s="31" t="n">
        <v>2708.07</v>
      </c>
      <c r="M62" s="31" t="n">
        <v>33.52</v>
      </c>
      <c r="N62" s="33" t="inlineStr">
        <is>
          <t>No</t>
        </is>
      </c>
      <c r="O62" s="30" t="n"/>
    </row>
    <row r="63" ht="15" customHeight="1" s="25">
      <c r="A63" s="37" t="inlineStr">
        <is>
          <t>SSA033</t>
        </is>
      </c>
      <c r="B63" s="30" t="inlineStr">
        <is>
          <t>Peter Rallings - 122 Eyles Drive East Ballina NSW 2478</t>
        </is>
      </c>
      <c r="C63" s="33" t="inlineStr">
        <is>
          <t>24/02/26</t>
        </is>
      </c>
      <c r="D63" s="30" t="inlineStr">
        <is>
          <t>Beau Jolly</t>
        </is>
      </c>
      <c r="E63" s="30" t="inlineStr">
        <is>
          <t>Joe</t>
        </is>
      </c>
      <c r="F63" s="33" t="inlineStr">
        <is>
          <t>Home</t>
        </is>
      </c>
      <c r="G63" s="31" t="n">
        <v>12877.6</v>
      </c>
      <c r="H63" s="31" t="n">
        <v>11878.18</v>
      </c>
      <c r="I63" s="31" t="n">
        <v>171.27</v>
      </c>
      <c r="J63" s="31" t="n">
        <v>0</v>
      </c>
      <c r="K63" s="31" t="n">
        <v>1100</v>
      </c>
      <c r="L63" s="31" t="n">
        <v>1100</v>
      </c>
      <c r="M63" s="31" t="n">
        <v>-70.69</v>
      </c>
      <c r="N63" s="33" t="inlineStr">
        <is>
          <t>No</t>
        </is>
      </c>
      <c r="O63" s="30" t="n"/>
    </row>
    <row r="64" ht="15" customHeight="1" s="25">
      <c r="A64" s="37" t="inlineStr">
        <is>
          <t>SSA016</t>
        </is>
      </c>
      <c r="B64" s="30" t="inlineStr">
        <is>
          <t>Mark Cummins - 9 Waipori Street St Ives Chase NSW 2075</t>
        </is>
      </c>
      <c r="C64" s="33" t="inlineStr">
        <is>
          <t>20/02/26</t>
        </is>
      </c>
      <c r="D64" s="30" t="inlineStr">
        <is>
          <t>Beau Jolly</t>
        </is>
      </c>
      <c r="E64" s="30" t="inlineStr">
        <is>
          <t>Joe</t>
        </is>
      </c>
      <c r="F64" s="33" t="inlineStr">
        <is>
          <t>Home</t>
        </is>
      </c>
      <c r="G64" s="31" t="n">
        <v>21878</v>
      </c>
      <c r="H64" s="31" t="n">
        <v>20759.54</v>
      </c>
      <c r="I64" s="31" t="n">
        <v>1400.45</v>
      </c>
      <c r="J64" s="31" t="n">
        <v>0</v>
      </c>
      <c r="K64" s="31" t="n">
        <v>2225</v>
      </c>
      <c r="L64" s="31" t="n">
        <v>2225</v>
      </c>
      <c r="M64" s="31" t="n">
        <v>236.09</v>
      </c>
      <c r="N64" s="33" t="inlineStr">
        <is>
          <t>No</t>
        </is>
      </c>
      <c r="O64" s="30" t="n"/>
    </row>
    <row r="65" ht="15" customHeight="1" s="25">
      <c r="A65" s="37" t="inlineStr">
        <is>
          <t>SSA017</t>
        </is>
      </c>
      <c r="B65" s="30" t="inlineStr">
        <is>
          <t>Edward Watt - 41 Milburn Place St Ives Chase NSW 2075</t>
        </is>
      </c>
      <c r="C65" s="33" t="inlineStr">
        <is>
          <t>19/02/26</t>
        </is>
      </c>
      <c r="D65" s="30" t="inlineStr">
        <is>
          <t>Joe</t>
        </is>
      </c>
      <c r="E65" s="30" t="inlineStr">
        <is>
          <t>Joe</t>
        </is>
      </c>
      <c r="F65" s="33" t="inlineStr">
        <is>
          <t>Home</t>
        </is>
      </c>
      <c r="G65" s="31" t="n">
        <v>15218</v>
      </c>
      <c r="H65" s="31" t="n">
        <v>13670.91</v>
      </c>
      <c r="I65" s="31" t="n">
        <v>-647.27</v>
      </c>
      <c r="J65" s="31" t="n">
        <v>0</v>
      </c>
      <c r="K65" s="31" t="n">
        <v>1367.09</v>
      </c>
      <c r="L65" s="31" t="n">
        <v>1367.09</v>
      </c>
      <c r="M65" s="31" t="n">
        <v>-16.36</v>
      </c>
      <c r="N65" s="33" t="inlineStr">
        <is>
          <t>No</t>
        </is>
      </c>
      <c r="O65" s="30" t="n"/>
    </row>
    <row r="66" ht="15" customHeight="1" s="25">
      <c r="A66" s="37" t="inlineStr">
        <is>
          <t>SSA007</t>
        </is>
      </c>
      <c r="B66" s="30" t="inlineStr">
        <is>
          <t>Larry Grant - 77 Cecil Road Orange NSW 2800</t>
        </is>
      </c>
      <c r="C66" s="33" t="inlineStr">
        <is>
          <t>15/02/26</t>
        </is>
      </c>
      <c r="D66" s="30" t="inlineStr">
        <is>
          <t>Beau Jolly</t>
        </is>
      </c>
      <c r="E66" s="30" t="inlineStr">
        <is>
          <t>Joe</t>
        </is>
      </c>
      <c r="F66" s="33" t="inlineStr">
        <is>
          <t>Home</t>
        </is>
      </c>
      <c r="G66" s="31" t="n">
        <v>5000</v>
      </c>
      <c r="H66" s="31" t="n">
        <v>5250</v>
      </c>
      <c r="I66" s="31" t="n">
        <v>0</v>
      </c>
      <c r="J66" s="31" t="n">
        <v>0</v>
      </c>
      <c r="K66" s="31" t="n">
        <v>1000</v>
      </c>
      <c r="L66" s="31" t="n">
        <v>1000</v>
      </c>
      <c r="M66" s="31" t="n">
        <v>545.45</v>
      </c>
      <c r="N66" s="33" t="inlineStr">
        <is>
          <t>No</t>
        </is>
      </c>
      <c r="O66" s="30" t="n"/>
    </row>
    <row r="67" ht="15" customHeight="1" s="25">
      <c r="A67" s="37" t="inlineStr">
        <is>
          <t>SSA015</t>
        </is>
      </c>
      <c r="B67" s="30" t="inlineStr">
        <is>
          <t>Ray Schriever - 32 Bungama Street Maroochydore QLD 4558</t>
        </is>
      </c>
      <c r="C67" s="33" t="inlineStr">
        <is>
          <t>28/01/26</t>
        </is>
      </c>
      <c r="D67" s="30" t="inlineStr">
        <is>
          <t>Joe</t>
        </is>
      </c>
      <c r="E67" s="30" t="inlineStr">
        <is>
          <t>Joe</t>
        </is>
      </c>
      <c r="F67" s="33" t="inlineStr">
        <is>
          <t>Home</t>
        </is>
      </c>
      <c r="G67" s="31" t="n">
        <v>15535.6</v>
      </c>
      <c r="H67" s="31" t="n">
        <v>14478.36</v>
      </c>
      <c r="I67" s="31" t="n">
        <v>355.09</v>
      </c>
      <c r="J67" s="31" t="n">
        <v>0</v>
      </c>
      <c r="K67" s="31" t="n">
        <v>1447.84</v>
      </c>
      <c r="L67" s="31" t="n">
        <v>1447.84</v>
      </c>
      <c r="M67" s="31" t="n">
        <v>35.51</v>
      </c>
      <c r="N67" s="33" t="inlineStr">
        <is>
          <t>No</t>
        </is>
      </c>
      <c r="O67" s="30" t="n"/>
    </row>
    <row r="68" ht="15" customHeight="1" s="25">
      <c r="A68" s="37" t="inlineStr">
        <is>
          <t>SSA045</t>
        </is>
      </c>
      <c r="B68" s="30" t="inlineStr">
        <is>
          <t>Glenda Eyears - 4 Wood Street Tenterfield NSW 2372</t>
        </is>
      </c>
      <c r="C68" s="33" t="inlineStr">
        <is>
          <t>27/01/26</t>
        </is>
      </c>
      <c r="D68" s="30" t="inlineStr">
        <is>
          <t>Denzel Winterbeard, Cian Jefferson, Joe</t>
        </is>
      </c>
      <c r="E68" s="30" t="inlineStr">
        <is>
          <t>Joe, Denzel Winterbeard, Cian Jefferson</t>
        </is>
      </c>
      <c r="F68" s="33" t="inlineStr">
        <is>
          <t>Away</t>
        </is>
      </c>
      <c r="G68" s="31" t="n">
        <v>22201</v>
      </c>
      <c r="H68" s="31" t="n">
        <v>20050.91</v>
      </c>
      <c r="I68" s="31" t="n">
        <v>-122.73</v>
      </c>
      <c r="J68" s="31" t="n">
        <v>0</v>
      </c>
      <c r="K68" s="31" t="n">
        <v>2005.09</v>
      </c>
      <c r="L68" s="31" t="n">
        <v>2005.08</v>
      </c>
      <c r="M68" s="31" t="n">
        <v>-13.18</v>
      </c>
      <c r="N68" s="33" t="inlineStr">
        <is>
          <t>No</t>
        </is>
      </c>
      <c r="O68" s="30" t="n"/>
    </row>
    <row r="69" ht="15" customHeight="1" s="25">
      <c r="A69" s="37" t="inlineStr">
        <is>
          <t>SSA047</t>
        </is>
      </c>
      <c r="B69" s="30" t="inlineStr">
        <is>
          <t>Sandra de Jong - 9 White Street Bingara NSW 2404</t>
        </is>
      </c>
      <c r="C69" s="33" t="inlineStr">
        <is>
          <t>19/01/26</t>
        </is>
      </c>
      <c r="D69" s="30" t="inlineStr">
        <is>
          <t>Joe</t>
        </is>
      </c>
      <c r="E69" s="30" t="inlineStr">
        <is>
          <t>Joe</t>
        </is>
      </c>
      <c r="F69" s="33" t="inlineStr">
        <is>
          <t>Home</t>
        </is>
      </c>
      <c r="G69" s="31" t="n">
        <v>10729</v>
      </c>
      <c r="H69" s="31" t="n">
        <v>9018.18</v>
      </c>
      <c r="I69" s="31" t="n">
        <v>-81.81999999999999</v>
      </c>
      <c r="J69" s="31" t="n">
        <v>0</v>
      </c>
      <c r="K69" s="31" t="n">
        <v>901.8200000000001</v>
      </c>
      <c r="L69" s="31" t="n">
        <v>901.8200000000001</v>
      </c>
      <c r="M69" s="31" t="n">
        <v>-73.54000000000001</v>
      </c>
      <c r="N69" s="33" t="inlineStr">
        <is>
          <t>No</t>
        </is>
      </c>
      <c r="O69" s="30" t="n"/>
    </row>
    <row r="70" ht="15" customHeight="1" s="25">
      <c r="A70" s="37" t="inlineStr">
        <is>
          <t>SSA048</t>
        </is>
      </c>
      <c r="B70" s="30" t="inlineStr">
        <is>
          <t>Dale Baldock - 85 Finch Street Bingara NSW 2404</t>
        </is>
      </c>
      <c r="C70" s="33" t="inlineStr">
        <is>
          <t>19/01/26</t>
        </is>
      </c>
      <c r="D70" s="30" t="inlineStr">
        <is>
          <t>Joe</t>
        </is>
      </c>
      <c r="E70" s="30" t="inlineStr">
        <is>
          <t>Joe</t>
        </is>
      </c>
      <c r="F70" s="33" t="inlineStr">
        <is>
          <t>Home</t>
        </is>
      </c>
      <c r="G70" s="31" t="n">
        <v>13527.6</v>
      </c>
      <c r="H70" s="31" t="n">
        <v>12469.09</v>
      </c>
      <c r="I70" s="31" t="n">
        <v>171.27</v>
      </c>
      <c r="J70" s="31" t="n">
        <v>0</v>
      </c>
      <c r="K70" s="31" t="n">
        <v>1246.91</v>
      </c>
      <c r="L70" s="31" t="n">
        <v>1246.91</v>
      </c>
      <c r="M70" s="31" t="n">
        <v>17.13</v>
      </c>
      <c r="N70" s="33" t="inlineStr">
        <is>
          <t>No</t>
        </is>
      </c>
      <c r="O70" s="30" t="n"/>
    </row>
    <row r="71" ht="15" customHeight="1" s="25">
      <c r="A71" s="37" t="inlineStr">
        <is>
          <t>SSA046</t>
        </is>
      </c>
      <c r="B71" s="30" t="inlineStr">
        <is>
          <t>Eddie Scofield  &amp; Liz Mitchelson - 7674 Bruxner Highway Drake NSW 2469</t>
        </is>
      </c>
      <c r="C71" s="33" t="inlineStr">
        <is>
          <t>15/01/26</t>
        </is>
      </c>
      <c r="D71" s="30" t="inlineStr">
        <is>
          <t>Denzel Winterbeard, Cian Jefferson, Joe</t>
        </is>
      </c>
      <c r="E71" s="30" t="inlineStr">
        <is>
          <t>Joe, Denzel Winterbeard, Cian Jefferson</t>
        </is>
      </c>
      <c r="F71" s="33" t="inlineStr">
        <is>
          <t>Away</t>
        </is>
      </c>
      <c r="G71" s="31" t="n">
        <v>17583</v>
      </c>
      <c r="H71" s="31" t="n">
        <v>15902.73</v>
      </c>
      <c r="I71" s="31" t="n">
        <v>-81.81999999999999</v>
      </c>
      <c r="J71" s="31" t="n">
        <v>0</v>
      </c>
      <c r="K71" s="31" t="n">
        <v>1590.27</v>
      </c>
      <c r="L71" s="31" t="n">
        <v>1590.27</v>
      </c>
      <c r="M71" s="31" t="n">
        <v>-8.18</v>
      </c>
      <c r="N71" s="33" t="inlineStr">
        <is>
          <t>No</t>
        </is>
      </c>
      <c r="O71" s="30" t="n"/>
    </row>
    <row r="72" ht="15" customHeight="1" s="25">
      <c r="A72" s="37" t="inlineStr">
        <is>
          <t>SSA002</t>
        </is>
      </c>
      <c r="B72" s="30" t="inlineStr">
        <is>
          <t>Cecilia Curtis - 10 Sinclair Street Kambah ACT 2902</t>
        </is>
      </c>
      <c r="C72" s="33" t="inlineStr">
        <is>
          <t>15/12/25</t>
        </is>
      </c>
      <c r="D72" s="30" t="inlineStr">
        <is>
          <t>Dermot</t>
        </is>
      </c>
      <c r="E72" s="30" t="inlineStr">
        <is>
          <t>Joe</t>
        </is>
      </c>
      <c r="F72" s="33" t="inlineStr">
        <is>
          <t>Home</t>
        </is>
      </c>
      <c r="G72" s="31" t="n">
        <v>4000</v>
      </c>
      <c r="H72" s="31" t="n">
        <v>3631.82</v>
      </c>
      <c r="I72" s="31" t="n">
        <v>0</v>
      </c>
      <c r="J72" s="31" t="n">
        <v>0</v>
      </c>
      <c r="K72" s="31" t="n">
        <v>350</v>
      </c>
      <c r="L72" s="31" t="n">
        <v>350</v>
      </c>
      <c r="M72" s="31" t="n">
        <v>-13.64</v>
      </c>
      <c r="N72" s="33" t="inlineStr">
        <is>
          <t>No</t>
        </is>
      </c>
      <c r="O72" s="30" t="n"/>
    </row>
    <row r="73" ht="15" customHeight="1" s="25">
      <c r="A73" s="37" t="inlineStr">
        <is>
          <t>SSA001</t>
        </is>
      </c>
      <c r="B73" s="30" t="inlineStr">
        <is>
          <t>Judy Mannix - 68 Clanwilliam Street Blackheath NSW 2785</t>
        </is>
      </c>
      <c r="C73" s="33" t="inlineStr">
        <is>
          <t>15/12/25</t>
        </is>
      </c>
      <c r="D73" s="30" t="inlineStr">
        <is>
          <t>Joe</t>
        </is>
      </c>
      <c r="E73" s="30" t="inlineStr">
        <is>
          <t>Joe</t>
        </is>
      </c>
      <c r="F73" s="33" t="inlineStr">
        <is>
          <t>Home</t>
        </is>
      </c>
      <c r="G73" s="31" t="n">
        <v>5000</v>
      </c>
      <c r="H73" s="31" t="n">
        <v>2722.73</v>
      </c>
      <c r="I73" s="31" t="n">
        <v>0</v>
      </c>
      <c r="J73" s="31" t="n">
        <v>0</v>
      </c>
      <c r="K73" s="31" t="n">
        <v>272.27</v>
      </c>
      <c r="L73" s="31" t="n">
        <v>272.27</v>
      </c>
      <c r="M73" s="31" t="n">
        <v>-182.28</v>
      </c>
      <c r="N73" s="33" t="inlineStr">
        <is>
          <t>No</t>
        </is>
      </c>
      <c r="O73" s="30" t="n"/>
    </row>
    <row r="74" ht="15" customHeight="1" s="25">
      <c r="A74" s="37" t="inlineStr">
        <is>
          <t>SSA009</t>
        </is>
      </c>
      <c r="B74" s="30" t="inlineStr">
        <is>
          <t>Trevor Haskins - 77 Lambeth Street Glen Innes NSW 2370</t>
        </is>
      </c>
      <c r="C74" s="33" t="inlineStr">
        <is>
          <t>05/12/25</t>
        </is>
      </c>
      <c r="D74" s="30" t="inlineStr">
        <is>
          <t>Joe</t>
        </is>
      </c>
      <c r="E74" s="30" t="inlineStr">
        <is>
          <t>Joe</t>
        </is>
      </c>
      <c r="F74" s="33" t="inlineStr">
        <is>
          <t>Home</t>
        </is>
      </c>
      <c r="G74" s="31" t="n">
        <v>5250</v>
      </c>
      <c r="H74" s="31" t="n">
        <v>4699</v>
      </c>
      <c r="I74" s="31" t="n">
        <v>0</v>
      </c>
      <c r="J74" s="31" t="n">
        <v>0</v>
      </c>
      <c r="K74" s="31" t="n">
        <v>469.9</v>
      </c>
      <c r="L74" s="31" t="n">
        <v>469.9</v>
      </c>
      <c r="M74" s="31" t="n">
        <v>-7.37</v>
      </c>
      <c r="N74" s="33" t="inlineStr">
        <is>
          <t>No</t>
        </is>
      </c>
      <c r="O74" s="30" t="n"/>
    </row>
    <row r="75" ht="15" customHeight="1" s="25">
      <c r="A75" s="37" t="inlineStr">
        <is>
          <t>SSA005</t>
        </is>
      </c>
      <c r="B75" s="30" t="inlineStr">
        <is>
          <t>Mark Olley - 7 Dixon Place Jerrabomberra NSW 2619</t>
        </is>
      </c>
      <c r="C75" s="33" t="inlineStr">
        <is>
          <t>01/12/25</t>
        </is>
      </c>
      <c r="D75" s="30" t="inlineStr">
        <is>
          <t>Joe</t>
        </is>
      </c>
      <c r="E75" s="30" t="inlineStr">
        <is>
          <t>Joe</t>
        </is>
      </c>
      <c r="F75" s="33" t="inlineStr">
        <is>
          <t>Home</t>
        </is>
      </c>
      <c r="G75" s="31" t="n">
        <v>10000</v>
      </c>
      <c r="H75" s="31" t="n">
        <v>9995</v>
      </c>
      <c r="I75" s="31" t="n">
        <v>0</v>
      </c>
      <c r="J75" s="31" t="n">
        <v>0</v>
      </c>
      <c r="K75" s="31" t="n">
        <v>999.5</v>
      </c>
      <c r="L75" s="31" t="n">
        <v>999.5</v>
      </c>
      <c r="M75" s="31" t="n">
        <v>90.41</v>
      </c>
      <c r="N75" s="33" t="inlineStr">
        <is>
          <t>No</t>
        </is>
      </c>
      <c r="O75" s="30" t="n"/>
    </row>
    <row r="76" ht="15" customHeight="1" s="25">
      <c r="A76" s="37" t="inlineStr">
        <is>
          <t>SSA008</t>
        </is>
      </c>
      <c r="B76" s="30" t="inlineStr">
        <is>
          <t>James Satrapa -</t>
        </is>
      </c>
      <c r="C76" s="33" t="inlineStr">
        <is>
          <t>25/11/25</t>
        </is>
      </c>
      <c r="D76" s="30" t="inlineStr">
        <is>
          <t>Joe</t>
        </is>
      </c>
      <c r="E76" s="30" t="inlineStr">
        <is>
          <t>Joe</t>
        </is>
      </c>
      <c r="F76" s="33" t="inlineStr">
        <is>
          <t>Home</t>
        </is>
      </c>
      <c r="G76" s="31" t="n">
        <v>150</v>
      </c>
      <c r="H76" s="31" t="n">
        <v>136.36</v>
      </c>
      <c r="I76" s="31" t="n">
        <v>0</v>
      </c>
      <c r="J76" s="31" t="n">
        <v>0</v>
      </c>
      <c r="K76" s="31" t="n">
        <v>13.64</v>
      </c>
      <c r="L76" s="31" t="n">
        <v>13.64</v>
      </c>
      <c r="M76" s="31" t="n">
        <v>0</v>
      </c>
      <c r="N76" s="33" t="inlineStr">
        <is>
          <t>No</t>
        </is>
      </c>
      <c r="O76" s="30" t="n"/>
    </row>
    <row r="77" ht="15" customHeight="1" s="25">
      <c r="A77" s="37" t="inlineStr">
        <is>
          <t>SSA006</t>
        </is>
      </c>
      <c r="B77" s="30" t="inlineStr">
        <is>
          <t>David Middleton - 35 Cooya Beach Road Bonnie Doon QLD 4873</t>
        </is>
      </c>
      <c r="C77" s="33" t="inlineStr">
        <is>
          <t>14/11/25</t>
        </is>
      </c>
      <c r="D77" s="30" t="inlineStr">
        <is>
          <t>Joe</t>
        </is>
      </c>
      <c r="E77" s="30" t="inlineStr">
        <is>
          <t>Joe</t>
        </is>
      </c>
      <c r="F77" s="33" t="inlineStr">
        <is>
          <t>Home</t>
        </is>
      </c>
      <c r="G77" s="31" t="n">
        <v>20000</v>
      </c>
      <c r="H77" s="31" t="n">
        <v>17727.27</v>
      </c>
      <c r="I77" s="31" t="n">
        <v>0</v>
      </c>
      <c r="J77" s="31" t="n">
        <v>0</v>
      </c>
      <c r="K77" s="31" t="n">
        <v>1772.73</v>
      </c>
      <c r="L77" s="31" t="n">
        <v>1772.73</v>
      </c>
      <c r="M77" s="31" t="n">
        <v>-45.45</v>
      </c>
      <c r="N77" s="33" t="inlineStr">
        <is>
          <t>No</t>
        </is>
      </c>
      <c r="O77" s="30" t="n"/>
    </row>
    <row r="78" ht="15" customHeight="1" s="25">
      <c r="A78" s="37" t="inlineStr">
        <is>
          <t>SSA004</t>
        </is>
      </c>
      <c r="B78" s="30" t="inlineStr">
        <is>
          <t>Benjamin Hart - 46 Grimshaw Street Richardson ACT 2905</t>
        </is>
      </c>
      <c r="C78" s="33" t="inlineStr">
        <is>
          <t>21/10/25</t>
        </is>
      </c>
      <c r="D78" s="30" t="inlineStr">
        <is>
          <t>Joe</t>
        </is>
      </c>
      <c r="E78" s="30" t="inlineStr">
        <is>
          <t>Joe</t>
        </is>
      </c>
      <c r="F78" s="33" t="inlineStr">
        <is>
          <t>Home</t>
        </is>
      </c>
      <c r="G78" s="31" t="n">
        <v>5000</v>
      </c>
      <c r="H78" s="31" t="n">
        <v>2722.73</v>
      </c>
      <c r="I78" s="31" t="n">
        <v>0</v>
      </c>
      <c r="J78" s="31" t="n">
        <v>0</v>
      </c>
      <c r="K78" s="31" t="n">
        <v>272.27</v>
      </c>
      <c r="L78" s="31" t="n">
        <v>272.27</v>
      </c>
      <c r="M78" s="31" t="n">
        <v>-182.28</v>
      </c>
      <c r="N78" s="33" t="inlineStr">
        <is>
          <t>No</t>
        </is>
      </c>
      <c r="O78" s="30" t="n"/>
    </row>
    <row r="79" ht="15" customHeight="1" s="25">
      <c r="A79" s="37" t="inlineStr">
        <is>
          <t>SSA003</t>
        </is>
      </c>
      <c r="B79" s="30" t="inlineStr">
        <is>
          <t>Robert Fitz - 46 Churchill Avenue Orange NSW 2800</t>
        </is>
      </c>
      <c r="C79" s="33" t="inlineStr">
        <is>
          <t>16/10/25</t>
        </is>
      </c>
      <c r="D79" s="30" t="inlineStr">
        <is>
          <t>Joe</t>
        </is>
      </c>
      <c r="E79" s="30" t="inlineStr">
        <is>
          <t>Joe</t>
        </is>
      </c>
      <c r="F79" s="33" t="inlineStr">
        <is>
          <t>Home</t>
        </is>
      </c>
      <c r="G79" s="31" t="n">
        <v>5500</v>
      </c>
      <c r="H79" s="31" t="n">
        <v>4086.36</v>
      </c>
      <c r="I79" s="31" t="n">
        <v>0</v>
      </c>
      <c r="J79" s="31" t="n">
        <v>0</v>
      </c>
      <c r="K79" s="31" t="n">
        <v>408.64</v>
      </c>
      <c r="L79" s="31" t="n">
        <v>408.64</v>
      </c>
      <c r="M79" s="31" t="n">
        <v>-91.36</v>
      </c>
      <c r="N79" s="33" t="inlineStr">
        <is>
          <t>No</t>
        </is>
      </c>
      <c r="O79" s="30" t="n"/>
    </row>
    <row r="80" ht="15" customHeight="1" s="25">
      <c r="A80" s="34" t="inlineStr">
        <is>
          <t>TOTAL</t>
        </is>
      </c>
      <c r="B80" s="44" t="n"/>
      <c r="C80" s="44" t="n"/>
      <c r="D80" s="44" t="n"/>
      <c r="E80" s="44" t="n"/>
      <c r="F80" s="44" t="n"/>
      <c r="G80" s="35">
        <f>SUM(G5:G79)</f>
        <v/>
      </c>
      <c r="H80" s="35">
        <f>SUM(H5:H79)</f>
        <v/>
      </c>
      <c r="I80" s="35">
        <f>SUM(I5:I79)</f>
        <v/>
      </c>
      <c r="J80" s="35">
        <f>SUM(J5:J79)</f>
        <v/>
      </c>
      <c r="K80" s="35">
        <f>SUM(K5:K79)</f>
        <v/>
      </c>
      <c r="L80" s="35">
        <f>SUM(L5:L79)</f>
        <v/>
      </c>
      <c r="M80" s="35">
        <f>SUM(M5:M79)</f>
        <v/>
      </c>
      <c r="N80" s="44" t="n"/>
      <c r="O80" s="44" t="n"/>
    </row>
    <row r="82" ht="15" customHeight="1" s="25">
      <c r="A82" s="27" t="inlineStr">
        <is>
          <t>⚠ Estimate up to 20/07/26. Figures before the reset are reconstructed from HubSpot and contain known inconsistencies. Commission shown is earned/owed on install, not cash paid. Treat pre-reset totals as an estimate for cross-referencing, not a settled ledger.</t>
        </is>
      </c>
    </row>
    <row r="83" ht="15" customHeight="1" s="25">
      <c r="A83" s="27" t="inlineStr">
        <is>
          <t>The three Xero columns are display only — Commission Payable already contains those adjustments.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4" min="1" max="1"/>
    <col width="118" customWidth="1" style="24" min="2" max="2"/>
  </cols>
  <sheetData>
    <row r="1" ht="17.35" customHeight="1" s="25">
      <c r="A1" s="26" t="inlineStr">
        <is>
          <t>READ ME</t>
        </is>
      </c>
    </row>
    <row r="2" ht="15" customHeight="1" s="25">
      <c r="A2" s="27" t="inlineStr">
        <is>
          <t>HubSpot pull 09/09/26 · reset baseline 20/07/26 · ad spend to 03/09/26</t>
        </is>
      </c>
    </row>
    <row r="4" ht="25.5" customHeight="1" s="25">
      <c r="A4" s="47" t="inlineStr">
        <is>
          <t>What this workbook is</t>
        </is>
      </c>
      <c r="B4" s="48" t="inlineStr">
        <is>
          <t>The Ampra commission position for the five tracked people, rebuilt each run from HubSpot, Gmail (Meta receipts) and the Xero-validated HubSpot fields.</t>
        </is>
      </c>
    </row>
    <row r="5" ht="25.5" customHeight="1" s="25">
      <c r="A5" s="47" t="inlineStr">
        <is>
          <t>Reset baseline</t>
        </is>
      </c>
      <c r="B5" s="48" t="inlineStr">
        <is>
          <t>20/07/26. Deals installed before that date are log-only — the opening positions already carry that history.</t>
        </is>
      </c>
    </row>
    <row r="6" ht="15" customHeight="1" s="25">
      <c r="A6" s="47" t="inlineStr">
        <is>
          <t>Position formulas</t>
        </is>
      </c>
      <c r="B6" s="48" t="inlineStr">
        <is>
          <t>Current = Start + Earned − (Retainer + Ad Spend).   Projected = Current + Pending.</t>
        </is>
      </c>
    </row>
    <row r="7" ht="25.5" customHeight="1" s="25">
      <c r="A7" s="47" t="inlineStr">
        <is>
          <t>When a deal is Earned</t>
        </is>
      </c>
      <c r="B7" s="48" t="inlineStr">
        <is>
          <t>Only once BOTH finance boxes are ticked in HubSpot — Rebates/STC paid AND Commission recorded. Installed alone is not enough; those deals stay in the Pipeline with a stage saying why.</t>
        </is>
      </c>
    </row>
    <row r="8" ht="25.5" customHeight="1" s="25">
      <c r="A8" s="47" t="inlineStr">
        <is>
          <t>The pot</t>
        </is>
      </c>
      <c r="B8" s="48" t="inlineStr">
        <is>
          <t>A gated deal uses Xero - Commission Payable (already net of Formbay/ACP and finance fees). Everything else uses (Cash + Rebate) ÷ 1.1 × 10%.</t>
        </is>
      </c>
    </row>
    <row r="9" ht="25.5" customHeight="1" s="25">
      <c r="A9" s="47" t="inlineStr">
        <is>
          <t>Away trip</t>
        </is>
      </c>
      <c r="B9" s="48" t="inlineStr">
        <is>
          <t>3 or more field reps on the deal. The pot divides equally by headcount. Holly is remote and never counts.</t>
        </is>
      </c>
    </row>
    <row r="10" ht="25.5" customHeight="1" s="25">
      <c r="A10" s="47" t="inlineStr">
        <is>
          <t>Home deal</t>
        </is>
      </c>
      <c r="B10" s="48" t="inlineStr">
        <is>
          <t>The pot splits in half by role — lead gen half and specialist half. Someone in both roles takes both. An empty role leaves its half unallocated; it is shown and flagged, never redistributed.</t>
        </is>
      </c>
    </row>
    <row r="11" ht="25.5" customHeight="1" s="25">
      <c r="A11" s="47" t="inlineStr">
        <is>
          <t>Holly</t>
        </is>
      </c>
      <c r="B11" s="48" t="inlineStr">
        <is>
          <t>A normal lead gen — no ×0.8 factor, no cash-only basis, rebate included. Her Meta ad spend reduces her position once, in the Retainer Log, and never again at the commission line.</t>
        </is>
      </c>
    </row>
    <row r="12" ht="25.5" customHeight="1" s="25">
      <c r="A12" s="47" t="inlineStr">
        <is>
          <t>Ad spend</t>
        </is>
      </c>
      <c r="B12" s="48" t="inlineStr">
        <is>
          <t>Meta receipts only, lead-generation campaigns only. Recruitment campaigns ("Ampra Job") are excluded. Axis Social is not Meta and is permanently excluded.</t>
        </is>
      </c>
    </row>
    <row r="13" ht="25.5" customHeight="1" s="25">
      <c r="A13" s="47" t="inlineStr">
        <is>
          <t>Pending caveat</t>
        </is>
      </c>
      <c r="B13" s="48" t="inlineStr">
        <is>
          <t>All pending deals are based on cash amounts and may change with finance and ACP charges. A deal counts as earned once rebates/STC are paid and finance has recorded the commission.</t>
        </is>
      </c>
    </row>
    <row r="14" ht="25.5" customHeight="1" s="25">
      <c r="A14" s="47" t="inlineStr">
        <is>
          <t>Colour key</t>
        </is>
      </c>
      <c r="B14" s="48" t="inlineStr">
        <is>
          <t>Red / TO EARN BACK = owed to Ampra. AMPRA OWES = owed to the person. Amber shading = a data-quality flag, a neutral fact, not a debt.</t>
        </is>
      </c>
    </row>
    <row r="15" ht="25.5" customHeight="1" s="25">
      <c r="A15" s="47" t="inlineStr">
        <is>
          <t>Input cells</t>
        </is>
      </c>
      <c r="B15" s="48" t="inlineStr">
        <is>
          <t>Figures in blue are user-adjustable inputs (Cash and Rebate on the Pipeline, and the Retainer Log settings). Everything else is derived.</t>
        </is>
      </c>
    </row>
    <row r="16" ht="64.5" customHeight="1" s="25">
      <c r="A16" s="47" t="inlineStr">
        <is>
          <t>Open decision this run</t>
        </is>
      </c>
      <c r="B16" s="48" t="inlineStr">
        <is>
          <t>Three installed deals marked lead gen = 'Customer' had Commission Payable restated by finance to exactly 5% of net revenue (Brenda Walker, Allan Marks, John Tooler). This build still splits that restated pot in half by role, leaving a half unallocated. If finance intended the specialist to take the whole restated amount, Denzel's Earned rises by $453.94 and Hugo's and Denzel's Pending each rise by $698.57 on Ian Potter. Awaiting Ollie's call — see the run summary.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2026-09-09T00:43:51Z</dcterms:created>
  <dcterms:modified xsi:type="dcterms:W3CDTF">2026-09-09T03:42:43Z</dcterms:modified>
  <cp:revision>0</cp:revision>
</cp:coreProperties>
</file>